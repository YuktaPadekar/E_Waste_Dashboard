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Assignments\Tanmay\"/>
    </mc:Choice>
  </mc:AlternateContent>
  <xr:revisionPtr revIDLastSave="0" documentId="8_{08E99DF4-3D1F-4E4E-AEE4-C3A7367E8A88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8" i="3"/>
  <c r="J10" i="3"/>
  <c r="J12" i="3"/>
  <c r="C30" i="9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G27" i="4"/>
  <c r="F27" i="4"/>
  <c r="E27" i="4"/>
  <c r="D27" i="4"/>
  <c r="C6" i="4"/>
  <c r="C7" i="4"/>
  <c r="C8" i="4"/>
  <c r="C9" i="4"/>
  <c r="C10" i="4"/>
  <c r="C11" i="4"/>
  <c r="C12" i="4"/>
  <c r="C13" i="4"/>
  <c r="J14" i="3"/>
  <c r="C14" i="4"/>
  <c r="C15" i="4"/>
  <c r="J16" i="3"/>
  <c r="C16" i="4"/>
  <c r="C17" i="4"/>
  <c r="J18" i="3"/>
  <c r="C18" i="4"/>
  <c r="C19" i="4"/>
  <c r="C20" i="4"/>
  <c r="C21" i="4"/>
  <c r="C22" i="4"/>
  <c r="C23" i="4"/>
  <c r="C24" i="4"/>
  <c r="C25" i="4"/>
  <c r="J7" i="3"/>
  <c r="J9" i="3"/>
  <c r="J11" i="3"/>
  <c r="J13" i="3"/>
  <c r="J15" i="3"/>
  <c r="J17" i="3"/>
  <c r="J19" i="3"/>
  <c r="J20" i="3"/>
  <c r="J21" i="3"/>
  <c r="J22" i="3"/>
  <c r="J23" i="3"/>
  <c r="J24" i="3"/>
  <c r="J25" i="3"/>
  <c r="J27" i="3"/>
  <c r="I27" i="3"/>
  <c r="H27" i="3"/>
  <c r="G27" i="3"/>
  <c r="F27" i="3"/>
  <c r="E27" i="3"/>
  <c r="D27" i="3"/>
  <c r="C27" i="3"/>
  <c r="F10" i="1"/>
  <c r="G10" i="1"/>
  <c r="H10" i="1"/>
  <c r="E28" i="5"/>
  <c r="F14" i="1"/>
  <c r="G14" i="1"/>
  <c r="H14" i="1"/>
  <c r="F15" i="1"/>
  <c r="G15" i="1"/>
  <c r="H15" i="1"/>
  <c r="F16" i="1"/>
  <c r="G16" i="1"/>
  <c r="H16" i="1"/>
  <c r="D17" i="1"/>
  <c r="F28" i="5"/>
  <c r="D28" i="5"/>
  <c r="F13" i="1" l="1"/>
  <c r="G13" i="1" s="1"/>
  <c r="H13" i="1" s="1"/>
  <c r="C27" i="4"/>
  <c r="F12" i="1" s="1"/>
  <c r="G12" i="1" s="1"/>
  <c r="H12" i="1" s="1"/>
  <c r="F11" i="1" l="1"/>
  <c r="G11" i="1" s="1"/>
  <c r="H11" i="1" s="1"/>
  <c r="H17" i="1" s="1"/>
  <c r="F5" i="1" l="1"/>
  <c r="D5" i="1"/>
</calcChain>
</file>

<file path=xl/sharedStrings.xml><?xml version="1.0" encoding="utf-8"?>
<sst xmlns="http://schemas.openxmlformats.org/spreadsheetml/2006/main" count="414" uniqueCount="256">
  <si>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</si>
  <si>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</si>
  <si>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</si>
  <si>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</si>
  <si>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District</t>
  </si>
  <si>
    <t>Installed Capacity (tonnes/yr)</t>
  </si>
  <si>
    <t>Quantity Processed This Year (tonnes)</t>
  </si>
  <si>
    <t>Material Recovery Rate (%)</t>
  </si>
  <si>
    <t>Authorization Valid Till</t>
  </si>
  <si>
    <t>GreenTech E-Waste Recyclers Pvt. Ltd.</t>
  </si>
  <si>
    <t>CPCB/EWM/2019/ST-1234</t>
  </si>
  <si>
    <t>District A</t>
  </si>
  <si>
    <t>31-03-2027</t>
  </si>
  <si>
    <t>Sikkim Eco Dismantlers</t>
  </si>
  <si>
    <t>SPCB/SKM/EW/2025-001</t>
  </si>
  <si>
    <t>Gangtok</t>
  </si>
  <si>
    <t>31-03-2028</t>
  </si>
  <si>
    <t>Eastern Recyclers</t>
  </si>
  <si>
    <t>Namchi</t>
  </si>
  <si>
    <t>Himalayan E-Waste Solutions</t>
  </si>
  <si>
    <t>SPCB/SKM/EW/2025-003</t>
  </si>
  <si>
    <t>Pakyong</t>
  </si>
  <si>
    <t>STATE TOTAL</t>
  </si>
  <si>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</si>
  <si>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</si>
  <si>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</si>
  <si>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</si>
  <si>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</si>
  <si>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</si>
  <si>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</si>
  <si>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</si>
  <si>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</si>
  <si>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</si>
  <si>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</si>
  <si>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</si>
  <si>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</si>
  <si>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</si>
  <si>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</si>
  <si>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</si>
  <si>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</si>
  <si>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</si>
  <si>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</si>
  <si>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</si>
  <si>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</si>
  <si>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</si>
  <si>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</si>
  <si>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</si>
  <si>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</si>
  <si>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</si>
  <si>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</si>
  <si>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</si>
  <si>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</si>
  <si>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</si>
  <si>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</si>
  <si>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</si>
  <si>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</si>
  <si>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</si>
  <si>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</si>
  <si>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</si>
  <si>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</si>
  <si>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</si>
  <si>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</si>
  <si>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</si>
  <si>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</si>
  <si>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</si>
  <si>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</si>
  <si>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</si>
  <si>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</si>
  <si>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</si>
  <si>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</si>
  <si>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</si>
  <si>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</si>
  <si>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</si>
  <si>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</si>
  <si>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</si>
  <si>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</si>
  <si>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</si>
  <si>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</si>
  <si>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30-06-2026</t>
  </si>
  <si>
    <t>Gyalshing</t>
  </si>
  <si>
    <t>Mangan</t>
  </si>
  <si>
    <t>Soreng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</si>
  <si>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</si>
  <si>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</si>
  <si>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</si>
  <si>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</si>
  <si>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</si>
  <si>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</si>
  <si>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</si>
  <si>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</si>
  <si>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Formal collection through 12 authorized centers</t>
  </si>
  <si>
    <t xml:space="preserve">Highest Ewaste generation due to urbanization, goverment offices, educational institutions and commercial establishments 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</si>
  <si>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</si>
  <si>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</si>
  <si>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</si>
  <si>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</si>
  <si>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</si>
  <si>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</si>
  <si>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</si>
  <si>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</si>
  <si>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</si>
  <si>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ABC Electronics Ltd.</t>
  </si>
  <si>
    <t>EPR/2024/ST/00456</t>
  </si>
  <si>
    <t>Compliant</t>
  </si>
  <si>
    <t>Yes</t>
  </si>
  <si>
    <t>No</t>
  </si>
  <si>
    <t>N/A</t>
  </si>
  <si>
    <t>Annual EPR target met (105%)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</si>
  <si>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</si>
  <si>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</si>
  <si>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</si>
  <si>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</si>
  <si>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</si>
  <si>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</si>
  <si>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</si>
  <si>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</si>
  <si>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</si>
  <si>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</si>
  <si>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</si>
  <si>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</si>
  <si>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Old Market Scrap Yard</t>
  </si>
  <si>
    <t>District B</t>
  </si>
  <si>
    <t>Partially Formalized</t>
  </si>
  <si>
    <t>Registered as authorized collection point; 30 workers trained under skill program</t>
  </si>
  <si>
    <t>Remediation ongoing</t>
  </si>
  <si>
    <t>MG Marg Scrap Cluster</t>
  </si>
  <si>
    <t>Identified</t>
  </si>
  <si>
    <t>Awareness &amp; registration</t>
  </si>
  <si>
    <t>Under monitoring</t>
  </si>
  <si>
    <t>Namchi Scrap Market</t>
  </si>
  <si>
    <t>Training completed</t>
  </si>
  <si>
    <t>Periodic inspections</t>
  </si>
  <si>
    <t>Pakyong Repair Cluster</t>
  </si>
  <si>
    <t>Collection linkage</t>
  </si>
  <si>
    <t>Needs formal registration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</si>
  <si>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</si>
  <si>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</si>
  <si>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</si>
  <si>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</si>
  <si>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</si>
  <si>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</si>
  <si>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</si>
  <si>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</si>
  <si>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</si>
  <si>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</si>
  <si>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</si>
  <si>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</si>
  <si>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</si>
  <si>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10-05-2026</t>
  </si>
  <si>
    <t>Exceeds Limit (Pb, Cd)</t>
  </si>
  <si>
    <t>Follow-up remediation plan submitted to SPCB</t>
  </si>
  <si>
    <t>Air Quality</t>
  </si>
  <si>
    <t>15-06-2026</t>
  </si>
  <si>
    <t>Within Limit</t>
  </si>
  <si>
    <t>Routine monitoring</t>
  </si>
  <si>
    <t>Soil</t>
  </si>
  <si>
    <t>20-06-2026</t>
  </si>
  <si>
    <t>No issues observed</t>
  </si>
  <si>
    <t>Water</t>
  </si>
  <si>
    <t>05-07-2026</t>
  </si>
  <si>
    <t>Minor contamination</t>
  </si>
  <si>
    <t>Awareness provided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</si>
  <si>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</si>
  <si>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</si>
  <si>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</si>
  <si>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</si>
  <si>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</si>
  <si>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</si>
  <si>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</si>
  <si>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</si>
  <si>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</si>
  <si>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E-Waste Awareness Drive - Schools</t>
  </si>
  <si>
    <t>18-04-2026</t>
  </si>
  <si>
    <t>School Collection Drive</t>
  </si>
  <si>
    <t>Students, Grades 6-10</t>
  </si>
  <si>
    <t>Door-to-Door Collection Drive</t>
  </si>
  <si>
    <t>12-06-2026</t>
  </si>
  <si>
    <t>Collection Drive</t>
  </si>
  <si>
    <t>Households</t>
  </si>
  <si>
    <t>College E-Waste Campaign</t>
  </si>
  <si>
    <t>28-06-2026</t>
  </si>
  <si>
    <t>Seminar</t>
  </si>
  <si>
    <t>College Students</t>
  </si>
  <si>
    <t>Village Awareness Camp</t>
  </si>
  <si>
    <t>10-07-2026</t>
  </si>
  <si>
    <t>Community Outreach</t>
  </si>
  <si>
    <t>Residents</t>
  </si>
  <si>
    <t>Total Programs Conducted</t>
  </si>
  <si>
    <t>Collection Drives (School+RWA)</t>
  </si>
  <si>
    <t>Total Participants Reached</t>
  </si>
  <si>
    <t>Moderate collection through authorized center</t>
  </si>
  <si>
    <t>Steady EPR collections</t>
  </si>
  <si>
    <t>Rural awareness improving</t>
  </si>
  <si>
    <t>Collection from institutions</t>
  </si>
  <si>
    <t>Limited but increasing participation</t>
  </si>
  <si>
    <t>SPCB/SKM/EW/2025-005</t>
  </si>
  <si>
    <t>31-03-2029</t>
  </si>
  <si>
    <t>Samsung India Electronics Pvt. Ltd.</t>
  </si>
  <si>
    <t>EPR/2024/ST/00457</t>
  </si>
  <si>
    <t>Records verified</t>
  </si>
  <si>
    <t>LG Electronics India Pvt. Ltd.</t>
  </si>
  <si>
    <t>EPR/2024/ST/00458</t>
  </si>
  <si>
    <t>EPR target achieved</t>
  </si>
  <si>
    <t>Dell India Pvt. Ltd.</t>
  </si>
  <si>
    <t>EPR/2024/ST/00459</t>
  </si>
  <si>
    <t>Partially Compliant</t>
  </si>
  <si>
    <t>Inspection pending</t>
  </si>
  <si>
    <t>HP India Sales Pvt. Ltd.</t>
  </si>
  <si>
    <t>EPR/2024/ST/00460</t>
  </si>
  <si>
    <t>Due for next cycle</t>
  </si>
  <si>
    <t>Lenovo India Pvt. Ltd.</t>
  </si>
  <si>
    <t>EPR/2024/ST/00461</t>
  </si>
  <si>
    <t>Non-Compliant</t>
  </si>
  <si>
    <t>Shortfall in collection target</t>
  </si>
  <si>
    <t>Acer India Pvt. Ltd.</t>
  </si>
  <si>
    <t>EPR/2024/ST/00462</t>
  </si>
  <si>
    <t>Documentation complete</t>
  </si>
  <si>
    <t>ASUS India Pvt. Ltd.</t>
  </si>
  <si>
    <t>EPR/2024/ST/00463</t>
  </si>
  <si>
    <t>Show-cause resolved</t>
  </si>
  <si>
    <t>Apple India Pvt. Ltd.</t>
  </si>
  <si>
    <t>EPR/2024/ST/00464</t>
  </si>
  <si>
    <t>No issues reported</t>
  </si>
  <si>
    <t>Xiaomi Technology India Pvt. Ltd.</t>
  </si>
  <si>
    <t>EPR/2024/ST/00465</t>
  </si>
  <si>
    <t>Awaiting inspection</t>
  </si>
  <si>
    <t>OnePlus India</t>
  </si>
  <si>
    <t>EPR/2024/ST/00466</t>
  </si>
  <si>
    <t>Collection target met</t>
  </si>
  <si>
    <t>Vivo Mobile India Pvt. Ltd.</t>
  </si>
  <si>
    <t>EPR/2024/ST/00467</t>
  </si>
  <si>
    <t>OPPO Mobiles India Pvt. Ltd.</t>
  </si>
  <si>
    <t>EPR/2024/ST/00468</t>
  </si>
  <si>
    <t>Action initiated</t>
  </si>
  <si>
    <t>Realme India</t>
  </si>
  <si>
    <t>EPR/2024/ST/00469</t>
  </si>
  <si>
    <t>Data under review</t>
  </si>
  <si>
    <t>Panasonic India Pvt. Ltd.</t>
  </si>
  <si>
    <t>EPR/2024/ST/00470</t>
  </si>
  <si>
    <t>Sony India Pvt. Ltd.</t>
  </si>
  <si>
    <t>EPR/2024/ST/00471</t>
  </si>
  <si>
    <t>Inspection satisfactory</t>
  </si>
  <si>
    <t>Haier Appliances India Pvt. Ltd.</t>
  </si>
  <si>
    <t>EPR/2024/ST/00472</t>
  </si>
  <si>
    <t>Penalty resolved</t>
  </si>
  <si>
    <t>Godrej Appliances</t>
  </si>
  <si>
    <t>EPR/2024/ST/00473</t>
  </si>
  <si>
    <t>Voltas Ltd.</t>
  </si>
  <si>
    <t>EPR/2024/ST/00474</t>
  </si>
  <si>
    <t>No inspection scheduled</t>
  </si>
  <si>
    <t>Havells India Ltd.</t>
  </si>
  <si>
    <t>EPR/2024/ST/00475</t>
  </si>
  <si>
    <t>Awaiting compliance documents</t>
  </si>
  <si>
    <t>Philips India Ltd.</t>
  </si>
  <si>
    <t>EPR/2024/ST/00476</t>
  </si>
  <si>
    <t>All requirements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</si>
</sst>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sz val="8"/>
      <name val="Calibri"/>
      <family val="2"/>
      <charset val="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2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zoomScaleNormal="100" workbookViewId="0">
      <selection activeCell="F11" sqref="F11"/>
    </sheetView>
  </sheetViews>
  <sheetFormatPr defaultColWidth="8.77734375" defaultRowHeight="14.4" x14ac:dyDescent="0.3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 x14ac:dyDescent="0.3">
      <c r="A2" s="23" t="s">
        <v>23</v>
      </c>
      <c r="B2" s="22"/>
      <c r="C2" s="22"/>
      <c r="D2" s="22"/>
      <c r="E2" s="22"/>
      <c r="F2" s="22"/>
      <c r="G2" s="22"/>
      <c r="H2" s="22"/>
    </row>
    <row r="3" spans="1:9" x14ac:dyDescent="0.3">
      <c r="B3" s="21" t="s">
        <v>24</v>
      </c>
      <c r="C3" s="22"/>
      <c r="D3" s="22"/>
      <c r="E3" s="22"/>
      <c r="F3" s="22"/>
      <c r="G3" s="22"/>
      <c r="H3" s="22"/>
      <c r="I3" s="22"/>
    </row>
    <row r="5" spans="1:9" x14ac:dyDescent="0.3">
      <c r="B5" s="25" t="s">
        <v>25</v>
      </c>
      <c r="C5" s="22"/>
      <c r="D5" s="24">
        <f>ROUND(H17,1)</f>
        <v>46.1</v>
      </c>
      <c r="E5" s="22"/>
      <c r="F5" s="26" t="str">
        <f>_xlfn.IFS(H17&gt;=85,"EXCELLENT",H17&gt;=65,"GOOD",H17&gt;=45,"NEEDS IMPROVEMENT",TRUE(),"CRITICAL")</f>
        <v>NEEDS IMPROVEMENT</v>
      </c>
      <c r="G5" s="22"/>
      <c r="H5" s="22"/>
      <c r="I5" s="22"/>
    </row>
    <row r="6" spans="1:9" x14ac:dyDescent="0.3">
      <c r="B6" s="22"/>
      <c r="C6" s="22"/>
      <c r="D6" s="22"/>
      <c r="E6" s="22"/>
      <c r="F6" s="22"/>
      <c r="G6" s="22"/>
      <c r="H6" s="22"/>
      <c r="I6" s="22"/>
    </row>
    <row r="7" spans="1:9" x14ac:dyDescent="0.3">
      <c r="B7" s="22"/>
      <c r="C7" s="22"/>
      <c r="D7" s="22"/>
      <c r="E7" s="22"/>
      <c r="F7" s="22"/>
      <c r="G7" s="22"/>
      <c r="H7" s="22"/>
      <c r="I7" s="22"/>
    </row>
    <row r="9" spans="1:9" ht="30" customHeight="1" x14ac:dyDescent="0.3"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</row>
    <row r="10" spans="1:9" ht="30" customHeight="1" x14ac:dyDescent="0.3">
      <c r="B10" s="2">
        <v>1</v>
      </c>
      <c r="C10" s="3" t="s">
        <v>33</v>
      </c>
      <c r="D10" s="2">
        <v>15</v>
      </c>
      <c r="E10" s="4">
        <v>5</v>
      </c>
      <c r="F10" s="2">
        <f>COUNTIF('1_Generation_Inventory'!C6:C25,"?*")</f>
        <v>0</v>
      </c>
      <c r="G10" s="16">
        <f t="shared" ref="G10:G16" si="0">IFERROR(MIN(F10/E10,1),0)</f>
        <v>0</v>
      </c>
      <c r="H10" s="5">
        <f t="shared" ref="H10:H16" si="1">ROUND(G10*D10,1)</f>
        <v>0</v>
      </c>
    </row>
    <row r="11" spans="1:9" ht="30" customHeight="1" x14ac:dyDescent="0.3">
      <c r="B11" s="2">
        <v>2</v>
      </c>
      <c r="C11" s="3" t="s">
        <v>34</v>
      </c>
      <c r="D11" s="2">
        <v>20</v>
      </c>
      <c r="E11" s="17">
        <v>1</v>
      </c>
      <c r="F11" s="16">
        <f>IFERROR('2_Collection_Log'!F27/'2_Collection_Log'!C27,0)</f>
        <v>0.23881245474293991</v>
      </c>
      <c r="G11" s="16">
        <f t="shared" si="0"/>
        <v>0.23881245474293991</v>
      </c>
      <c r="H11" s="5">
        <f t="shared" si="1"/>
        <v>4.8</v>
      </c>
    </row>
    <row r="12" spans="1:9" ht="30" customHeight="1" x14ac:dyDescent="0.3">
      <c r="B12" s="2">
        <v>3</v>
      </c>
      <c r="C12" s="3" t="s">
        <v>35</v>
      </c>
      <c r="D12" s="2">
        <v>20</v>
      </c>
      <c r="E12" s="17">
        <v>1</v>
      </c>
      <c r="F12" s="16">
        <f>IFERROR(('3_Recycling_Infrastructure'!E28*1000)/'2_Collection_Log'!C27,0)</f>
        <v>8.8341781317885584</v>
      </c>
      <c r="G12" s="16">
        <f t="shared" si="0"/>
        <v>1</v>
      </c>
      <c r="H12" s="5">
        <f t="shared" si="1"/>
        <v>20</v>
      </c>
    </row>
    <row r="13" spans="1:9" ht="30" customHeight="1" x14ac:dyDescent="0.3">
      <c r="B13" s="2">
        <v>4</v>
      </c>
      <c r="C13" s="3" t="s">
        <v>36</v>
      </c>
      <c r="D13" s="2">
        <v>15</v>
      </c>
      <c r="E13" s="17">
        <v>1</v>
      </c>
      <c r="F13" s="16">
        <f>IFERROR('4_Compliance_Tracker'!C28/'4_Compliance_Tracker'!C29,0)</f>
        <v>0.61904761904761907</v>
      </c>
      <c r="G13" s="16">
        <f t="shared" si="0"/>
        <v>0.61904761904761907</v>
      </c>
      <c r="H13" s="5">
        <f t="shared" si="1"/>
        <v>9.3000000000000007</v>
      </c>
    </row>
    <row r="14" spans="1:9" ht="30" customHeight="1" x14ac:dyDescent="0.3">
      <c r="B14" s="2">
        <v>5</v>
      </c>
      <c r="C14" s="3" t="s">
        <v>37</v>
      </c>
      <c r="D14" s="2">
        <v>10</v>
      </c>
      <c r="E14" s="17">
        <v>1</v>
      </c>
      <c r="F14" s="16">
        <f>IFERROR('5_Informal_Sector_Hotspots'!C29/'5_Informal_Sector_Hotspots'!C28,0)</f>
        <v>0</v>
      </c>
      <c r="G14" s="16">
        <f t="shared" si="0"/>
        <v>0</v>
      </c>
      <c r="H14" s="5">
        <f t="shared" si="1"/>
        <v>0</v>
      </c>
    </row>
    <row r="15" spans="1:9" ht="30" customHeight="1" x14ac:dyDescent="0.3">
      <c r="B15" s="2">
        <v>6</v>
      </c>
      <c r="C15" s="3" t="s">
        <v>38</v>
      </c>
      <c r="D15" s="2">
        <v>10</v>
      </c>
      <c r="E15" s="17">
        <v>1</v>
      </c>
      <c r="F15" s="16">
        <f>IFERROR('6_Env_Health_Monitoring'!C28/'5_Informal_Sector_Hotspots'!C28,0)</f>
        <v>1</v>
      </c>
      <c r="G15" s="16">
        <f t="shared" si="0"/>
        <v>1</v>
      </c>
      <c r="H15" s="5">
        <f t="shared" si="1"/>
        <v>10</v>
      </c>
    </row>
    <row r="16" spans="1:9" ht="30" customHeight="1" x14ac:dyDescent="0.3">
      <c r="B16" s="2">
        <v>7</v>
      </c>
      <c r="C16" s="3" t="s">
        <v>39</v>
      </c>
      <c r="D16" s="2">
        <v>10</v>
      </c>
      <c r="E16" s="4">
        <v>20</v>
      </c>
      <c r="F16" s="2">
        <f>'7_Awareness_Programs'!C28</f>
        <v>4</v>
      </c>
      <c r="G16" s="16">
        <f t="shared" si="0"/>
        <v>0.2</v>
      </c>
      <c r="H16" s="5">
        <f t="shared" si="1"/>
        <v>2</v>
      </c>
    </row>
    <row r="17" spans="2:8" x14ac:dyDescent="0.3">
      <c r="B17" s="6"/>
      <c r="C17" s="7" t="s">
        <v>40</v>
      </c>
      <c r="D17" s="7">
        <f>SUM(D10:D16)</f>
        <v>100</v>
      </c>
      <c r="E17" s="6"/>
      <c r="F17" s="6"/>
      <c r="G17" s="6"/>
      <c r="H17" s="7">
        <f>SUM(H10:H16)</f>
        <v>46.1</v>
      </c>
    </row>
    <row r="19" spans="2:8" x14ac:dyDescent="0.3">
      <c r="B19" s="8" t="s">
        <v>41</v>
      </c>
    </row>
    <row r="20" spans="2:8" x14ac:dyDescent="0.3">
      <c r="B20" s="9" t="s">
        <v>42</v>
      </c>
      <c r="C20" s="9" t="s">
        <v>43</v>
      </c>
    </row>
    <row r="21" spans="2:8" x14ac:dyDescent="0.3">
      <c r="B21" s="9" t="s">
        <v>44</v>
      </c>
      <c r="C21" s="9" t="s">
        <v>45</v>
      </c>
    </row>
    <row r="22" spans="2:8" x14ac:dyDescent="0.3">
      <c r="B22" s="9" t="s">
        <v>46</v>
      </c>
      <c r="C22" s="9" t="s">
        <v>47</v>
      </c>
    </row>
    <row r="23" spans="2:8" x14ac:dyDescent="0.3">
      <c r="B23" s="9" t="s">
        <v>48</v>
      </c>
      <c r="C23" s="9" t="s">
        <v>49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7734375" defaultRowHeight="14.4" x14ac:dyDescent="0.3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 x14ac:dyDescent="0.3">
      <c r="A2" s="23" t="s">
        <v>50</v>
      </c>
      <c r="B2" s="22"/>
      <c r="C2" s="22"/>
      <c r="D2" s="22"/>
      <c r="E2" s="22"/>
      <c r="F2" s="22"/>
      <c r="G2" s="22"/>
    </row>
    <row r="4" spans="1:8" ht="30" customHeight="1" x14ac:dyDescent="0.3">
      <c r="B4" s="27" t="s">
        <v>51</v>
      </c>
      <c r="C4" s="22"/>
      <c r="D4" s="22"/>
      <c r="E4" s="22"/>
      <c r="F4" s="22"/>
      <c r="G4" s="22"/>
      <c r="H4" s="22"/>
    </row>
    <row r="6" spans="1:8" ht="24.75" customHeight="1" x14ac:dyDescent="0.3">
      <c r="B6" s="1" t="s">
        <v>26</v>
      </c>
      <c r="C6" s="1" t="s">
        <v>27</v>
      </c>
      <c r="D6" s="1" t="s">
        <v>28</v>
      </c>
      <c r="E6" s="1" t="s">
        <v>52</v>
      </c>
    </row>
    <row r="7" spans="1:8" ht="30" customHeight="1" x14ac:dyDescent="0.3">
      <c r="B7" s="2">
        <v>1</v>
      </c>
      <c r="C7" s="10" t="s">
        <v>33</v>
      </c>
      <c r="D7" s="2">
        <v>15</v>
      </c>
      <c r="E7" s="29" t="s">
        <v>53</v>
      </c>
      <c r="F7" s="30"/>
      <c r="G7" s="30"/>
      <c r="H7" s="31"/>
    </row>
    <row r="8" spans="1:8" ht="30" customHeight="1" x14ac:dyDescent="0.3">
      <c r="B8" s="2">
        <v>2</v>
      </c>
      <c r="C8" s="10" t="s">
        <v>34</v>
      </c>
      <c r="D8" s="2">
        <v>20</v>
      </c>
      <c r="E8" s="29" t="s">
        <v>54</v>
      </c>
      <c r="F8" s="30"/>
      <c r="G8" s="30"/>
      <c r="H8" s="31"/>
    </row>
    <row r="9" spans="1:8" ht="30" customHeight="1" x14ac:dyDescent="0.3">
      <c r="B9" s="2">
        <v>3</v>
      </c>
      <c r="C9" s="10" t="s">
        <v>35</v>
      </c>
      <c r="D9" s="2">
        <v>20</v>
      </c>
      <c r="E9" s="29" t="s">
        <v>55</v>
      </c>
      <c r="F9" s="30"/>
      <c r="G9" s="30"/>
      <c r="H9" s="31"/>
    </row>
    <row r="10" spans="1:8" ht="30" customHeight="1" x14ac:dyDescent="0.3">
      <c r="B10" s="2">
        <v>4</v>
      </c>
      <c r="C10" s="10" t="s">
        <v>36</v>
      </c>
      <c r="D10" s="2">
        <v>15</v>
      </c>
      <c r="E10" s="29" t="s">
        <v>56</v>
      </c>
      <c r="F10" s="30"/>
      <c r="G10" s="30"/>
      <c r="H10" s="31"/>
    </row>
    <row r="11" spans="1:8" ht="30" customHeight="1" x14ac:dyDescent="0.3">
      <c r="B11" s="2">
        <v>5</v>
      </c>
      <c r="C11" s="10" t="s">
        <v>37</v>
      </c>
      <c r="D11" s="2">
        <v>10</v>
      </c>
      <c r="E11" s="29" t="s">
        <v>57</v>
      </c>
      <c r="F11" s="30"/>
      <c r="G11" s="30"/>
      <c r="H11" s="31"/>
    </row>
    <row r="12" spans="1:8" ht="30" customHeight="1" x14ac:dyDescent="0.3">
      <c r="B12" s="2">
        <v>6</v>
      </c>
      <c r="C12" s="10" t="s">
        <v>38</v>
      </c>
      <c r="D12" s="2">
        <v>10</v>
      </c>
      <c r="E12" s="29" t="s">
        <v>58</v>
      </c>
      <c r="F12" s="30"/>
      <c r="G12" s="30"/>
      <c r="H12" s="31"/>
    </row>
    <row r="13" spans="1:8" ht="30" customHeight="1" x14ac:dyDescent="0.3">
      <c r="B13" s="2">
        <v>7</v>
      </c>
      <c r="C13" s="10" t="s">
        <v>39</v>
      </c>
      <c r="D13" s="2">
        <v>10</v>
      </c>
      <c r="E13" s="29" t="s">
        <v>59</v>
      </c>
      <c r="F13" s="30"/>
      <c r="G13" s="30"/>
      <c r="H13" s="31"/>
    </row>
    <row r="14" spans="1:8" x14ac:dyDescent="0.3">
      <c r="B14" s="6"/>
      <c r="C14" s="7" t="s">
        <v>60</v>
      </c>
      <c r="D14" s="7">
        <v>100</v>
      </c>
      <c r="E14" s="6"/>
      <c r="F14" s="6"/>
      <c r="G14" s="6"/>
      <c r="H14" s="6"/>
    </row>
    <row r="16" spans="1:8" x14ac:dyDescent="0.3">
      <c r="B16" s="8" t="s">
        <v>61</v>
      </c>
    </row>
    <row r="17" spans="2:8" ht="25.5" customHeight="1" x14ac:dyDescent="0.3">
      <c r="B17" s="28" t="s">
        <v>62</v>
      </c>
      <c r="C17" s="22"/>
      <c r="D17" s="22"/>
      <c r="E17" s="22"/>
      <c r="F17" s="22"/>
      <c r="G17" s="22"/>
      <c r="H17" s="22"/>
    </row>
    <row r="18" spans="2:8" ht="25.5" customHeight="1" x14ac:dyDescent="0.3">
      <c r="B18" s="28" t="s">
        <v>63</v>
      </c>
      <c r="C18" s="22"/>
      <c r="D18" s="22"/>
      <c r="E18" s="22"/>
      <c r="F18" s="22"/>
      <c r="G18" s="22"/>
      <c r="H18" s="22"/>
    </row>
    <row r="19" spans="2:8" ht="25.5" customHeight="1" x14ac:dyDescent="0.3">
      <c r="B19" s="28" t="s">
        <v>64</v>
      </c>
      <c r="C19" s="22"/>
      <c r="D19" s="22"/>
      <c r="E19" s="22"/>
      <c r="F19" s="22"/>
      <c r="G19" s="22"/>
      <c r="H19" s="22"/>
    </row>
    <row r="20" spans="2:8" ht="25.5" customHeight="1" x14ac:dyDescent="0.3">
      <c r="B20" s="28" t="s">
        <v>65</v>
      </c>
      <c r="C20" s="22"/>
      <c r="D20" s="22"/>
      <c r="E20" s="22"/>
      <c r="F20" s="22"/>
      <c r="G20" s="22"/>
      <c r="H20" s="22"/>
    </row>
    <row r="21" spans="2:8" ht="25.5" customHeight="1" x14ac:dyDescent="0.3">
      <c r="B21" s="28" t="s">
        <v>66</v>
      </c>
      <c r="C21" s="22"/>
      <c r="D21" s="22"/>
      <c r="E21" s="22"/>
      <c r="F21" s="22"/>
      <c r="G21" s="22"/>
      <c r="H21" s="22"/>
    </row>
  </sheetData>
  <mergeCells count="14">
    <mergeCell ref="B21:H21"/>
    <mergeCell ref="E12:H12"/>
    <mergeCell ref="B4:H4"/>
    <mergeCell ref="B20:H20"/>
    <mergeCell ref="A2:G2"/>
    <mergeCell ref="E7:H7"/>
    <mergeCell ref="E11:H11"/>
    <mergeCell ref="B19:H19"/>
    <mergeCell ref="E10:H10"/>
    <mergeCell ref="E13:H13"/>
    <mergeCell ref="E9:H9"/>
    <mergeCell ref="B17:H17"/>
    <mergeCell ref="E8:H8"/>
    <mergeCell ref="B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tabSelected="1" zoomScale="53" zoomScaleNormal="100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J18" sqref="J18"/>
    </sheetView>
  </sheetViews>
  <sheetFormatPr defaultColWidth="8.77734375" defaultRowHeight="14.4" x14ac:dyDescent="0.3"/>
  <cols>
    <col min="1" max="1" width="3" customWidth="1"/>
    <col min="2" max="2" width="16" customWidth="1"/>
    <col min="3" max="3" width="12" customWidth="1"/>
    <col min="4" max="4" width="16" customWidth="1"/>
    <col min="5" max="5" width="20" customWidth="1"/>
    <col min="6" max="6" width="18" customWidth="1"/>
    <col min="7" max="7" width="16" customWidth="1"/>
    <col min="8" max="8" width="14" customWidth="1"/>
    <col min="9" max="9" width="12" customWidth="1"/>
    <col min="10" max="10" width="14.88671875" customWidth="1"/>
    <col min="11" max="11" width="16" customWidth="1"/>
  </cols>
  <sheetData>
    <row r="2" spans="1:11" ht="25.5" customHeight="1" x14ac:dyDescent="0.3">
      <c r="A2" s="23" t="s">
        <v>67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x14ac:dyDescent="0.3">
      <c r="B3" s="21" t="s">
        <v>68</v>
      </c>
      <c r="C3" s="22"/>
      <c r="D3" s="22"/>
      <c r="E3" s="22"/>
      <c r="F3" s="22"/>
      <c r="G3" s="22"/>
      <c r="H3" s="22"/>
      <c r="I3" s="22"/>
      <c r="J3" s="22"/>
      <c r="K3" s="22"/>
    </row>
    <row r="5" spans="1:11" ht="31.5" customHeight="1" x14ac:dyDescent="0.3">
      <c r="B5" s="1" t="s">
        <v>4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</row>
    <row r="6" spans="1:11" x14ac:dyDescent="0.3">
      <c r="B6" s="11" t="s">
        <v>11</v>
      </c>
      <c r="C6" s="11">
        <v>2500000</v>
      </c>
      <c r="D6" s="11">
        <v>180000</v>
      </c>
      <c r="E6" s="11">
        <v>90000</v>
      </c>
      <c r="F6" s="11">
        <v>60000</v>
      </c>
      <c r="G6" s="11">
        <v>15000</v>
      </c>
      <c r="H6" s="11">
        <v>25000</v>
      </c>
      <c r="I6" s="11">
        <v>10000</v>
      </c>
      <c r="J6" s="11">
        <f>SUM(D6:I6)</f>
        <v>380000</v>
      </c>
      <c r="K6" s="11" t="s">
        <v>78</v>
      </c>
    </row>
    <row r="7" spans="1:11" x14ac:dyDescent="0.3">
      <c r="B7" s="12"/>
      <c r="C7" s="12"/>
      <c r="D7" s="12"/>
      <c r="E7" s="12"/>
      <c r="F7" s="12"/>
      <c r="G7" s="12"/>
      <c r="H7" s="12"/>
      <c r="I7" s="12"/>
      <c r="J7" s="13" t="str">
        <f t="shared" ref="J7:J25" si="0">IF(SUM(D7:I7)=0,"",SUM(D7:I7))</f>
        <v/>
      </c>
      <c r="K7" s="12"/>
    </row>
    <row r="8" spans="1:11" x14ac:dyDescent="0.3">
      <c r="B8" s="12" t="s">
        <v>15</v>
      </c>
      <c r="C8" s="14">
        <v>322000</v>
      </c>
      <c r="D8" s="14">
        <v>32000</v>
      </c>
      <c r="E8" s="14">
        <v>27500</v>
      </c>
      <c r="F8" s="12">
        <v>40000</v>
      </c>
      <c r="G8" s="12">
        <v>5500</v>
      </c>
      <c r="H8" s="12">
        <v>10500</v>
      </c>
      <c r="I8" s="12">
        <v>4500</v>
      </c>
      <c r="J8" s="13">
        <f t="shared" si="0"/>
        <v>120000</v>
      </c>
      <c r="K8" s="15">
        <v>46227</v>
      </c>
    </row>
    <row r="9" spans="1:11" x14ac:dyDescent="0.3">
      <c r="B9" s="12"/>
      <c r="C9" s="12"/>
      <c r="D9" s="12"/>
      <c r="E9" s="12"/>
      <c r="F9" s="12"/>
      <c r="G9" s="12"/>
      <c r="H9" s="12"/>
      <c r="I9" s="12"/>
      <c r="J9" s="13" t="str">
        <f t="shared" si="0"/>
        <v/>
      </c>
      <c r="K9" s="12"/>
    </row>
    <row r="10" spans="1:11" x14ac:dyDescent="0.3">
      <c r="B10" s="12" t="s">
        <v>79</v>
      </c>
      <c r="C10" s="14">
        <v>156000</v>
      </c>
      <c r="D10" s="14">
        <v>13500</v>
      </c>
      <c r="E10" s="12">
        <v>13500</v>
      </c>
      <c r="F10" s="12">
        <v>16500</v>
      </c>
      <c r="G10" s="12">
        <v>2200</v>
      </c>
      <c r="H10" s="12">
        <v>4800</v>
      </c>
      <c r="I10" s="12">
        <v>2000</v>
      </c>
      <c r="J10" s="13">
        <f t="shared" si="0"/>
        <v>52500</v>
      </c>
      <c r="K10" s="15">
        <v>46227</v>
      </c>
    </row>
    <row r="11" spans="1:11" x14ac:dyDescent="0.3">
      <c r="B11" s="12"/>
      <c r="C11" s="12"/>
      <c r="D11" s="12"/>
      <c r="E11" s="12"/>
      <c r="F11" s="12"/>
      <c r="G11" s="12"/>
      <c r="H11" s="12"/>
      <c r="I11" s="12"/>
      <c r="J11" s="13" t="str">
        <f t="shared" si="0"/>
        <v/>
      </c>
      <c r="K11" s="12"/>
    </row>
    <row r="12" spans="1:11" x14ac:dyDescent="0.3">
      <c r="B12" s="12" t="s">
        <v>80</v>
      </c>
      <c r="C12" s="14">
        <v>50000</v>
      </c>
      <c r="D12" s="14">
        <v>5500</v>
      </c>
      <c r="E12" s="12">
        <v>12000</v>
      </c>
      <c r="F12" s="12">
        <v>7000</v>
      </c>
      <c r="G12" s="12">
        <v>900</v>
      </c>
      <c r="H12" s="12">
        <v>1800</v>
      </c>
      <c r="I12" s="12">
        <v>800</v>
      </c>
      <c r="J12" s="13">
        <f t="shared" si="0"/>
        <v>28000</v>
      </c>
      <c r="K12" s="15">
        <v>46227</v>
      </c>
    </row>
    <row r="13" spans="1:11" x14ac:dyDescent="0.3">
      <c r="B13" s="12"/>
      <c r="C13" s="12"/>
      <c r="D13" s="12"/>
      <c r="E13" s="12"/>
      <c r="F13" s="12"/>
      <c r="G13" s="12"/>
      <c r="H13" s="12"/>
      <c r="I13" s="12"/>
      <c r="J13" s="13" t="str">
        <f t="shared" si="0"/>
        <v/>
      </c>
      <c r="K13" s="12"/>
    </row>
    <row r="14" spans="1:11" x14ac:dyDescent="0.3">
      <c r="B14" s="12" t="s">
        <v>18</v>
      </c>
      <c r="C14" s="14">
        <v>168000</v>
      </c>
      <c r="D14" s="14">
        <v>15500</v>
      </c>
      <c r="E14" s="12">
        <v>8000</v>
      </c>
      <c r="F14" s="12">
        <v>18500</v>
      </c>
      <c r="G14" s="12">
        <v>2500</v>
      </c>
      <c r="H14" s="12">
        <v>5500</v>
      </c>
      <c r="I14" s="12">
        <v>2500</v>
      </c>
      <c r="J14" s="13">
        <f t="shared" si="0"/>
        <v>52500</v>
      </c>
      <c r="K14" s="15">
        <v>46227</v>
      </c>
    </row>
    <row r="15" spans="1:11" x14ac:dyDescent="0.3">
      <c r="B15" s="12"/>
      <c r="C15" s="12"/>
      <c r="D15" s="12"/>
      <c r="E15" s="12"/>
      <c r="F15" s="12"/>
      <c r="G15" s="12"/>
      <c r="H15" s="12"/>
      <c r="I15" s="12"/>
      <c r="J15" s="13" t="str">
        <f t="shared" si="0"/>
        <v/>
      </c>
      <c r="K15" s="12"/>
    </row>
    <row r="16" spans="1:11" x14ac:dyDescent="0.3">
      <c r="B16" s="12" t="s">
        <v>21</v>
      </c>
      <c r="C16" s="14">
        <v>85000</v>
      </c>
      <c r="D16" s="12">
        <v>9000</v>
      </c>
      <c r="E16" s="12">
        <v>6500</v>
      </c>
      <c r="F16" s="12">
        <v>10500</v>
      </c>
      <c r="G16" s="12">
        <v>1500</v>
      </c>
      <c r="H16" s="12">
        <v>3000</v>
      </c>
      <c r="I16" s="12">
        <v>1000</v>
      </c>
      <c r="J16" s="13">
        <f t="shared" si="0"/>
        <v>31500</v>
      </c>
      <c r="K16" s="15">
        <v>46227</v>
      </c>
    </row>
    <row r="17" spans="2:11" x14ac:dyDescent="0.3">
      <c r="B17" s="12"/>
      <c r="C17" s="12"/>
      <c r="D17" s="12"/>
      <c r="E17" s="12"/>
      <c r="F17" s="12"/>
      <c r="G17" s="12"/>
      <c r="H17" s="12"/>
      <c r="I17" s="12"/>
      <c r="J17" s="13" t="str">
        <f t="shared" si="0"/>
        <v/>
      </c>
      <c r="K17" s="12"/>
    </row>
    <row r="18" spans="2:11" x14ac:dyDescent="0.3">
      <c r="B18" s="12" t="s">
        <v>81</v>
      </c>
      <c r="C18" s="14">
        <v>74000</v>
      </c>
      <c r="D18" s="12">
        <v>7500</v>
      </c>
      <c r="E18" s="12">
        <v>5000</v>
      </c>
      <c r="F18" s="12">
        <v>8800</v>
      </c>
      <c r="G18" s="12">
        <v>1200</v>
      </c>
      <c r="H18" s="12">
        <v>2500</v>
      </c>
      <c r="I18" s="12">
        <v>1000</v>
      </c>
      <c r="J18" s="13">
        <f t="shared" si="0"/>
        <v>26000</v>
      </c>
      <c r="K18" s="15">
        <v>46227</v>
      </c>
    </row>
    <row r="19" spans="2:11" x14ac:dyDescent="0.3">
      <c r="B19" s="12"/>
      <c r="C19" s="12"/>
      <c r="D19" s="12"/>
      <c r="E19" s="12"/>
      <c r="F19" s="12"/>
      <c r="G19" s="12"/>
      <c r="H19" s="12"/>
      <c r="I19" s="12"/>
      <c r="J19" s="13" t="str">
        <f t="shared" si="0"/>
        <v/>
      </c>
      <c r="K19" s="12"/>
    </row>
    <row r="20" spans="2:11" x14ac:dyDescent="0.3">
      <c r="B20" s="12"/>
      <c r="C20" s="12"/>
      <c r="D20" s="12"/>
      <c r="E20" s="12"/>
      <c r="F20" s="12"/>
      <c r="G20" s="12"/>
      <c r="H20" s="12"/>
      <c r="I20" s="12"/>
      <c r="J20" s="13" t="str">
        <f t="shared" si="0"/>
        <v/>
      </c>
      <c r="K20" s="12"/>
    </row>
    <row r="21" spans="2:11" x14ac:dyDescent="0.3">
      <c r="B21" s="12"/>
      <c r="C21" s="12"/>
      <c r="D21" s="12"/>
      <c r="E21" s="12"/>
      <c r="F21" s="12"/>
      <c r="G21" s="12"/>
      <c r="H21" s="12"/>
      <c r="I21" s="12"/>
      <c r="J21" s="13" t="str">
        <f t="shared" si="0"/>
        <v/>
      </c>
      <c r="K21" s="12"/>
    </row>
    <row r="22" spans="2:11" x14ac:dyDescent="0.3">
      <c r="B22" s="12"/>
      <c r="C22" s="12"/>
      <c r="D22" s="12"/>
      <c r="E22" s="12"/>
      <c r="F22" s="12"/>
      <c r="G22" s="12"/>
      <c r="H22" s="12"/>
      <c r="I22" s="12"/>
      <c r="J22" s="13" t="str">
        <f t="shared" si="0"/>
        <v/>
      </c>
      <c r="K22" s="12"/>
    </row>
    <row r="23" spans="2:11" x14ac:dyDescent="0.3">
      <c r="B23" s="12"/>
      <c r="C23" s="12"/>
      <c r="D23" s="12"/>
      <c r="E23" s="12"/>
      <c r="F23" s="12"/>
      <c r="G23" s="12"/>
      <c r="H23" s="12"/>
      <c r="I23" s="12"/>
      <c r="J23" s="13" t="str">
        <f t="shared" si="0"/>
        <v/>
      </c>
      <c r="K23" s="12"/>
    </row>
    <row r="24" spans="2:11" x14ac:dyDescent="0.3">
      <c r="B24" s="12"/>
      <c r="C24" s="12"/>
      <c r="D24" s="12"/>
      <c r="E24" s="12"/>
      <c r="F24" s="12"/>
      <c r="G24" s="12"/>
      <c r="H24" s="12"/>
      <c r="I24" s="12"/>
      <c r="J24" s="13" t="str">
        <f t="shared" si="0"/>
        <v/>
      </c>
      <c r="K24" s="12"/>
    </row>
    <row r="25" spans="2:11" x14ac:dyDescent="0.3">
      <c r="B25" s="12"/>
      <c r="C25" s="12"/>
      <c r="D25" s="12"/>
      <c r="E25" s="12"/>
      <c r="F25" s="12"/>
      <c r="G25" s="12"/>
      <c r="H25" s="12"/>
      <c r="I25" s="12"/>
      <c r="J25" s="13" t="str">
        <f t="shared" si="0"/>
        <v/>
      </c>
      <c r="K25" s="12"/>
    </row>
    <row r="27" spans="2:11" x14ac:dyDescent="0.3">
      <c r="B27" s="7" t="s">
        <v>22</v>
      </c>
      <c r="C27" s="7">
        <f t="shared" ref="C27:J27" si="1">SUM(C6:C25)</f>
        <v>3355000</v>
      </c>
      <c r="D27" s="7">
        <f t="shared" si="1"/>
        <v>263000</v>
      </c>
      <c r="E27" s="7">
        <f t="shared" si="1"/>
        <v>162500</v>
      </c>
      <c r="F27" s="7">
        <f t="shared" si="1"/>
        <v>161300</v>
      </c>
      <c r="G27" s="7">
        <f t="shared" si="1"/>
        <v>28800</v>
      </c>
      <c r="H27" s="7">
        <f t="shared" si="1"/>
        <v>53100</v>
      </c>
      <c r="I27" s="7">
        <f t="shared" si="1"/>
        <v>21800</v>
      </c>
      <c r="J27" s="7">
        <f t="shared" si="1"/>
        <v>690500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  <ignoredErrors>
    <ignoredError sqref="J6 J8 J10 J12 J14 J16 J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8" sqref="D8"/>
    </sheetView>
  </sheetViews>
  <sheetFormatPr defaultColWidth="8.77734375" defaultRowHeight="14.4" x14ac:dyDescent="0.3"/>
  <cols>
    <col min="1" max="1" width="3" customWidth="1"/>
    <col min="2" max="2" width="16" customWidth="1"/>
    <col min="3" max="3" width="20" customWidth="1"/>
    <col min="4" max="4" width="13" customWidth="1"/>
    <col min="5" max="5" width="18" customWidth="1"/>
    <col min="6" max="6" width="16" customWidth="1"/>
    <col min="7" max="7" width="18" customWidth="1"/>
    <col min="8" max="8" width="30" customWidth="1"/>
  </cols>
  <sheetData>
    <row r="2" spans="1:8" ht="25.5" customHeight="1" x14ac:dyDescent="0.3">
      <c r="A2" s="23" t="s">
        <v>82</v>
      </c>
      <c r="B2" s="22"/>
      <c r="C2" s="22"/>
      <c r="D2" s="22"/>
      <c r="E2" s="22"/>
      <c r="F2" s="22"/>
      <c r="G2" s="22"/>
    </row>
    <row r="3" spans="1:8" x14ac:dyDescent="0.3">
      <c r="B3" s="21" t="s">
        <v>83</v>
      </c>
      <c r="C3" s="22"/>
      <c r="D3" s="22"/>
      <c r="E3" s="22"/>
      <c r="F3" s="22"/>
      <c r="G3" s="22"/>
      <c r="H3" s="22"/>
    </row>
    <row r="5" spans="1:8" ht="31.5" customHeight="1" x14ac:dyDescent="0.3">
      <c r="B5" s="1" t="s">
        <v>4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</row>
    <row r="6" spans="1:8" ht="24.75" customHeight="1" x14ac:dyDescent="0.3">
      <c r="B6" s="11" t="s">
        <v>11</v>
      </c>
      <c r="C6" s="11">
        <f>IFERROR(INDEX('1_Generation_Inventory'!$J$6:$J$25,MATCH(B6,'1_Generation_Inventory'!$B$6:$B$25,0)),0)</f>
        <v>380000</v>
      </c>
      <c r="D6" s="11">
        <v>165000</v>
      </c>
      <c r="E6" s="11">
        <v>12</v>
      </c>
      <c r="F6" s="11">
        <v>150000</v>
      </c>
      <c r="G6" s="11">
        <v>138000</v>
      </c>
      <c r="H6" s="11" t="s">
        <v>90</v>
      </c>
    </row>
    <row r="7" spans="1:8" x14ac:dyDescent="0.3">
      <c r="B7" s="12"/>
      <c r="C7" s="13" t="str">
        <f>IFERROR(INDEX('1_Generation_Inventory'!$J$6:$J$25,MATCH(B7,'1_Generation_Inventory'!$B$6:$B$25,0)),"")</f>
        <v/>
      </c>
      <c r="D7" s="12"/>
      <c r="E7" s="12"/>
      <c r="F7" s="12"/>
      <c r="G7" s="12"/>
      <c r="H7" s="12"/>
    </row>
    <row r="8" spans="1:8" ht="47.25" customHeight="1" x14ac:dyDescent="0.3">
      <c r="B8" s="12" t="s">
        <v>15</v>
      </c>
      <c r="C8" s="13">
        <f>IFERROR(INDEX('1_Generation_Inventory'!$J$6:$J$25,MATCH(B8,'1_Generation_Inventory'!$B$6:$B$25,0)),"")</f>
        <v>120000</v>
      </c>
      <c r="D8" s="12">
        <v>7800</v>
      </c>
      <c r="E8" s="12">
        <v>2</v>
      </c>
      <c r="F8" s="12">
        <v>6500</v>
      </c>
      <c r="G8" s="12">
        <v>5850</v>
      </c>
      <c r="H8" s="12" t="s">
        <v>91</v>
      </c>
    </row>
    <row r="9" spans="1:8" x14ac:dyDescent="0.3">
      <c r="B9" s="12"/>
      <c r="C9" s="13" t="str">
        <f>IFERROR(INDEX('1_Generation_Inventory'!$J$6:$J$25,MATCH(B9,'1_Generation_Inventory'!$B$6:$B$25,0)),"")</f>
        <v/>
      </c>
      <c r="D9" s="12"/>
      <c r="E9" s="12"/>
      <c r="F9" s="12"/>
      <c r="G9" s="12"/>
      <c r="H9" s="12"/>
    </row>
    <row r="10" spans="1:8" ht="26.4" x14ac:dyDescent="0.3">
      <c r="B10" s="12" t="s">
        <v>79</v>
      </c>
      <c r="C10" s="13">
        <f>IFERROR(INDEX('1_Generation_Inventory'!$J$6:$J$25,MATCH(B10,'1_Generation_Inventory'!$B$6:$B$25,0)),"")</f>
        <v>52500</v>
      </c>
      <c r="D10" s="12">
        <v>2000</v>
      </c>
      <c r="E10" s="12">
        <v>1</v>
      </c>
      <c r="F10" s="12">
        <v>1600</v>
      </c>
      <c r="G10" s="12">
        <v>1250</v>
      </c>
      <c r="H10" s="12" t="s">
        <v>190</v>
      </c>
    </row>
    <row r="11" spans="1:8" x14ac:dyDescent="0.3">
      <c r="B11" s="12"/>
      <c r="C11" s="13" t="str">
        <f>IFERROR(INDEX('1_Generation_Inventory'!$J$6:$J$25,MATCH(B11,'1_Generation_Inventory'!$B$6:$B$25,0)),"")</f>
        <v/>
      </c>
      <c r="D11" s="12"/>
      <c r="E11" s="12"/>
      <c r="F11" s="12"/>
      <c r="G11" s="12"/>
      <c r="H11" s="12"/>
    </row>
    <row r="12" spans="1:8" x14ac:dyDescent="0.3">
      <c r="B12" s="12" t="s">
        <v>80</v>
      </c>
      <c r="C12" s="13">
        <f>IFERROR(INDEX('1_Generation_Inventory'!$J$6:$J$25,MATCH(B12,'1_Generation_Inventory'!$B$6:$B$25,0)),"")</f>
        <v>28000</v>
      </c>
      <c r="D12" s="12">
        <v>1600</v>
      </c>
      <c r="E12" s="12">
        <v>1</v>
      </c>
      <c r="F12" s="12">
        <v>1300</v>
      </c>
      <c r="G12" s="12">
        <v>950</v>
      </c>
      <c r="H12" s="12" t="s">
        <v>191</v>
      </c>
    </row>
    <row r="13" spans="1:8" x14ac:dyDescent="0.3">
      <c r="B13" s="12"/>
      <c r="C13" s="13" t="str">
        <f>IFERROR(INDEX('1_Generation_Inventory'!$J$6:$J$25,MATCH(B13,'1_Generation_Inventory'!$B$6:$B$25,0)),"")</f>
        <v/>
      </c>
      <c r="D13" s="12"/>
      <c r="E13" s="12"/>
      <c r="F13" s="12"/>
      <c r="G13" s="12"/>
      <c r="H13" s="12"/>
    </row>
    <row r="14" spans="1:8" x14ac:dyDescent="0.3">
      <c r="B14" s="12" t="s">
        <v>18</v>
      </c>
      <c r="C14" s="13">
        <f>IFERROR(INDEX('1_Generation_Inventory'!$J$6:$J$25,MATCH(B14,'1_Generation_Inventory'!$B$6:$B$25,0)),"")</f>
        <v>52500</v>
      </c>
      <c r="D14" s="12">
        <v>3100</v>
      </c>
      <c r="E14" s="12">
        <v>2</v>
      </c>
      <c r="F14" s="12">
        <v>2500</v>
      </c>
      <c r="G14" s="12">
        <v>2150</v>
      </c>
      <c r="H14" s="12" t="s">
        <v>192</v>
      </c>
    </row>
    <row r="15" spans="1:8" x14ac:dyDescent="0.3">
      <c r="B15" s="12"/>
      <c r="C15" s="13" t="str">
        <f>IFERROR(INDEX('1_Generation_Inventory'!$J$6:$J$25,MATCH(B15,'1_Generation_Inventory'!$B$6:$B$25,0)),"")</f>
        <v/>
      </c>
      <c r="D15" s="12"/>
      <c r="E15" s="12"/>
      <c r="F15" s="12"/>
      <c r="G15" s="12"/>
      <c r="H15" s="12"/>
    </row>
    <row r="16" spans="1:8" x14ac:dyDescent="0.3">
      <c r="B16" s="12" t="s">
        <v>21</v>
      </c>
      <c r="C16" s="13">
        <f>IFERROR(INDEX('1_Generation_Inventory'!$J$6:$J$25,MATCH(B16,'1_Generation_Inventory'!$B$6:$B$25,0)),"")</f>
        <v>31500</v>
      </c>
      <c r="D16" s="12">
        <v>2500</v>
      </c>
      <c r="E16" s="12">
        <v>1</v>
      </c>
      <c r="F16" s="12">
        <v>2000</v>
      </c>
      <c r="G16" s="12">
        <v>1600</v>
      </c>
      <c r="H16" s="12" t="s">
        <v>193</v>
      </c>
    </row>
    <row r="17" spans="2:8" x14ac:dyDescent="0.3">
      <c r="B17" s="12"/>
      <c r="C17" s="13" t="str">
        <f>IFERROR(INDEX('1_Generation_Inventory'!$J$6:$J$25,MATCH(B17,'1_Generation_Inventory'!$B$6:$B$25,0)),"")</f>
        <v/>
      </c>
      <c r="D17" s="12"/>
      <c r="E17" s="12"/>
      <c r="F17" s="12"/>
      <c r="G17" s="12"/>
      <c r="H17" s="12"/>
    </row>
    <row r="18" spans="2:8" x14ac:dyDescent="0.3">
      <c r="B18" s="12" t="s">
        <v>81</v>
      </c>
      <c r="C18" s="13">
        <f>IFERROR(INDEX('1_Generation_Inventory'!$J$6:$J$25,MATCH(B18,'1_Generation_Inventory'!$B$6:$B$25,0)),"")</f>
        <v>26000</v>
      </c>
      <c r="D18" s="12">
        <v>1200</v>
      </c>
      <c r="E18" s="12">
        <v>1</v>
      </c>
      <c r="F18" s="12">
        <v>1000</v>
      </c>
      <c r="G18" s="12">
        <v>700</v>
      </c>
      <c r="H18" s="12" t="s">
        <v>194</v>
      </c>
    </row>
    <row r="19" spans="2:8" x14ac:dyDescent="0.3">
      <c r="B19" s="12"/>
      <c r="C19" s="13" t="str">
        <f>IFERROR(INDEX('1_Generation_Inventory'!$J$6:$J$25,MATCH(B19,'1_Generation_Inventory'!$B$6:$B$25,0)),"")</f>
        <v/>
      </c>
      <c r="D19" s="12"/>
      <c r="E19" s="12"/>
      <c r="F19" s="12"/>
      <c r="G19" s="12"/>
      <c r="H19" s="12"/>
    </row>
    <row r="20" spans="2:8" x14ac:dyDescent="0.3">
      <c r="B20" s="12"/>
      <c r="C20" s="13" t="str">
        <f>IFERROR(INDEX('1_Generation_Inventory'!$J$6:$J$25,MATCH(B20,'1_Generation_Inventory'!$B$6:$B$25,0)),"")</f>
        <v/>
      </c>
      <c r="D20" s="12"/>
      <c r="E20" s="12"/>
      <c r="F20" s="12"/>
      <c r="G20" s="12"/>
      <c r="H20" s="12"/>
    </row>
    <row r="21" spans="2:8" x14ac:dyDescent="0.3">
      <c r="B21" s="12"/>
      <c r="C21" s="13" t="str">
        <f>IFERROR(INDEX('1_Generation_Inventory'!$J$6:$J$25,MATCH(B21,'1_Generation_Inventory'!$B$6:$B$25,0)),"")</f>
        <v/>
      </c>
      <c r="D21" s="12"/>
      <c r="E21" s="12"/>
      <c r="F21" s="12"/>
      <c r="G21" s="12"/>
      <c r="H21" s="12"/>
    </row>
    <row r="22" spans="2:8" x14ac:dyDescent="0.3">
      <c r="B22" s="12"/>
      <c r="C22" s="13" t="str">
        <f>IFERROR(INDEX('1_Generation_Inventory'!$J$6:$J$25,MATCH(B22,'1_Generation_Inventory'!$B$6:$B$25,0)),"")</f>
        <v/>
      </c>
      <c r="D22" s="12"/>
      <c r="E22" s="12"/>
      <c r="F22" s="12"/>
      <c r="G22" s="12"/>
      <c r="H22" s="12"/>
    </row>
    <row r="23" spans="2:8" x14ac:dyDescent="0.3">
      <c r="B23" s="12"/>
      <c r="C23" s="13" t="str">
        <f>IFERROR(INDEX('1_Generation_Inventory'!$J$6:$J$25,MATCH(B23,'1_Generation_Inventory'!$B$6:$B$25,0)),"")</f>
        <v/>
      </c>
      <c r="D23" s="12"/>
      <c r="E23" s="12"/>
      <c r="F23" s="12"/>
      <c r="G23" s="12"/>
      <c r="H23" s="12"/>
    </row>
    <row r="24" spans="2:8" x14ac:dyDescent="0.3">
      <c r="B24" s="12"/>
      <c r="C24" s="13" t="str">
        <f>IFERROR(INDEX('1_Generation_Inventory'!$J$6:$J$25,MATCH(B24,'1_Generation_Inventory'!$B$6:$B$25,0)),"")</f>
        <v/>
      </c>
      <c r="D24" s="12"/>
      <c r="E24" s="12"/>
      <c r="F24" s="12"/>
      <c r="G24" s="12"/>
      <c r="H24" s="12"/>
    </row>
    <row r="25" spans="2:8" x14ac:dyDescent="0.3">
      <c r="B25" s="12"/>
      <c r="C25" s="13" t="str">
        <f>IFERROR(INDEX('1_Generation_Inventory'!$J$6:$J$25,MATCH(B25,'1_Generation_Inventory'!$B$6:$B$25,0)),"")</f>
        <v/>
      </c>
      <c r="D25" s="12"/>
      <c r="E25" s="12"/>
      <c r="F25" s="12"/>
      <c r="G25" s="12"/>
      <c r="H25" s="12"/>
    </row>
    <row r="27" spans="2:8" x14ac:dyDescent="0.3">
      <c r="B27" s="7" t="s">
        <v>22</v>
      </c>
      <c r="C27" s="7">
        <f>SUM(C6:C25)</f>
        <v>690500</v>
      </c>
      <c r="D27" s="7">
        <f>SUM(D6:D25)</f>
        <v>183200</v>
      </c>
      <c r="E27" s="7">
        <f>SUM(E6:E25)</f>
        <v>20</v>
      </c>
      <c r="F27" s="7">
        <f>SUM(F6:F25)</f>
        <v>164900</v>
      </c>
      <c r="G27" s="7">
        <f>SUM(G6:G25)</f>
        <v>150500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defaultColWidth="8.77734375" defaultRowHeight="14.4" x14ac:dyDescent="0.3"/>
  <cols>
    <col min="1" max="1" width="3" customWidth="1"/>
    <col min="2" max="2" width="28" customWidth="1"/>
    <col min="3" max="3" width="22.109375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 x14ac:dyDescent="0.3">
      <c r="A2" s="23" t="s">
        <v>0</v>
      </c>
      <c r="B2" s="22"/>
      <c r="C2" s="22"/>
      <c r="D2" s="22"/>
      <c r="E2" s="22"/>
      <c r="F2" s="22"/>
      <c r="G2" s="22"/>
    </row>
    <row r="3" spans="1:8" x14ac:dyDescent="0.3">
      <c r="B3" s="21" t="s">
        <v>1</v>
      </c>
      <c r="C3" s="22"/>
      <c r="D3" s="22"/>
      <c r="E3" s="22"/>
      <c r="F3" s="22"/>
      <c r="G3" s="22"/>
      <c r="H3" s="22"/>
    </row>
    <row r="5" spans="1:8" ht="31.5" customHeigh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24.75" customHeight="1" x14ac:dyDescent="0.3">
      <c r="B6" s="11" t="s">
        <v>9</v>
      </c>
      <c r="C6" s="11" t="s">
        <v>10</v>
      </c>
      <c r="D6" s="11" t="s">
        <v>11</v>
      </c>
      <c r="E6" s="11">
        <v>5000</v>
      </c>
      <c r="F6" s="11">
        <v>3200</v>
      </c>
      <c r="G6" s="18">
        <v>0.82</v>
      </c>
      <c r="H6" s="11" t="s">
        <v>12</v>
      </c>
    </row>
    <row r="7" spans="1:8" ht="26.4" x14ac:dyDescent="0.3">
      <c r="B7" s="12" t="s">
        <v>13</v>
      </c>
      <c r="C7" s="12" t="s">
        <v>14</v>
      </c>
      <c r="D7" s="12" t="s">
        <v>15</v>
      </c>
      <c r="E7" s="12">
        <v>500</v>
      </c>
      <c r="F7" s="12">
        <v>320</v>
      </c>
      <c r="G7" s="19">
        <v>0.81</v>
      </c>
      <c r="H7" s="12" t="s">
        <v>16</v>
      </c>
    </row>
    <row r="8" spans="1:8" x14ac:dyDescent="0.3">
      <c r="B8" s="12"/>
      <c r="C8" s="12"/>
      <c r="D8" s="12"/>
      <c r="E8" s="12"/>
      <c r="F8" s="12"/>
      <c r="G8" s="19"/>
      <c r="H8" s="12"/>
    </row>
    <row r="9" spans="1:8" ht="26.4" x14ac:dyDescent="0.3">
      <c r="B9" s="12" t="s">
        <v>17</v>
      </c>
      <c r="C9" s="12" t="s">
        <v>20</v>
      </c>
      <c r="D9" s="12" t="s">
        <v>18</v>
      </c>
      <c r="E9" s="12">
        <v>350</v>
      </c>
      <c r="F9" s="12">
        <v>210</v>
      </c>
      <c r="G9" s="19">
        <v>0.79</v>
      </c>
      <c r="H9" s="12" t="s">
        <v>196</v>
      </c>
    </row>
    <row r="10" spans="1:8" x14ac:dyDescent="0.3">
      <c r="B10" s="12"/>
      <c r="C10" s="12"/>
      <c r="D10" s="12"/>
      <c r="E10" s="12"/>
      <c r="F10" s="12"/>
      <c r="G10" s="19"/>
      <c r="H10" s="12"/>
    </row>
    <row r="11" spans="1:8" ht="26.4" x14ac:dyDescent="0.3">
      <c r="B11" s="12" t="s">
        <v>19</v>
      </c>
      <c r="C11" s="12" t="s">
        <v>195</v>
      </c>
      <c r="D11" s="12" t="s">
        <v>21</v>
      </c>
      <c r="E11" s="12">
        <v>250</v>
      </c>
      <c r="F11" s="12">
        <v>160</v>
      </c>
      <c r="G11" s="19">
        <v>0.77</v>
      </c>
      <c r="H11" s="12" t="s">
        <v>196</v>
      </c>
    </row>
    <row r="12" spans="1:8" x14ac:dyDescent="0.3">
      <c r="B12" s="12"/>
      <c r="C12" s="12"/>
      <c r="D12" s="12"/>
      <c r="E12" s="12"/>
      <c r="F12" s="12"/>
      <c r="G12" s="19"/>
      <c r="H12" s="12"/>
    </row>
    <row r="13" spans="1:8" x14ac:dyDescent="0.3">
      <c r="B13" s="12"/>
      <c r="C13" s="12"/>
      <c r="D13" s="12"/>
      <c r="E13" s="12"/>
      <c r="F13" s="12"/>
      <c r="G13" s="19"/>
      <c r="H13" s="12"/>
    </row>
    <row r="14" spans="1:8" x14ac:dyDescent="0.3">
      <c r="B14" s="12"/>
      <c r="C14" s="12"/>
      <c r="D14" s="12"/>
      <c r="E14" s="12"/>
      <c r="F14" s="12"/>
      <c r="G14" s="19"/>
      <c r="H14" s="12"/>
    </row>
    <row r="15" spans="1:8" x14ac:dyDescent="0.3">
      <c r="B15" s="12"/>
      <c r="C15" s="12"/>
      <c r="D15" s="12"/>
      <c r="E15" s="12"/>
      <c r="F15" s="12"/>
      <c r="G15" s="19"/>
      <c r="H15" s="12"/>
    </row>
    <row r="16" spans="1:8" x14ac:dyDescent="0.3">
      <c r="B16" s="12"/>
      <c r="C16" s="12"/>
      <c r="D16" s="12"/>
      <c r="E16" s="12"/>
      <c r="F16" s="12"/>
      <c r="G16" s="19"/>
      <c r="H16" s="12"/>
    </row>
    <row r="17" spans="2:8" x14ac:dyDescent="0.3">
      <c r="B17" s="12"/>
      <c r="C17" s="12"/>
      <c r="D17" s="12"/>
      <c r="E17" s="12"/>
      <c r="F17" s="12"/>
      <c r="G17" s="19"/>
      <c r="H17" s="12"/>
    </row>
    <row r="18" spans="2:8" x14ac:dyDescent="0.3">
      <c r="B18" s="12"/>
      <c r="C18" s="12"/>
      <c r="D18" s="12"/>
      <c r="E18" s="12"/>
      <c r="F18" s="12"/>
      <c r="G18" s="19"/>
      <c r="H18" s="12"/>
    </row>
    <row r="19" spans="2:8" x14ac:dyDescent="0.3">
      <c r="B19" s="12"/>
      <c r="C19" s="12"/>
      <c r="D19" s="12"/>
      <c r="E19" s="12"/>
      <c r="F19" s="12"/>
      <c r="G19" s="19"/>
      <c r="H19" s="12"/>
    </row>
    <row r="20" spans="2:8" x14ac:dyDescent="0.3">
      <c r="B20" s="12"/>
      <c r="C20" s="12"/>
      <c r="D20" s="12"/>
      <c r="E20" s="12"/>
      <c r="F20" s="12"/>
      <c r="G20" s="19"/>
      <c r="H20" s="12"/>
    </row>
    <row r="21" spans="2:8" x14ac:dyDescent="0.3">
      <c r="B21" s="12"/>
      <c r="C21" s="12"/>
      <c r="D21" s="12"/>
      <c r="E21" s="12"/>
      <c r="F21" s="12"/>
      <c r="G21" s="19"/>
      <c r="H21" s="12"/>
    </row>
    <row r="22" spans="2:8" x14ac:dyDescent="0.3">
      <c r="B22" s="12"/>
      <c r="C22" s="12"/>
      <c r="D22" s="12"/>
      <c r="E22" s="12"/>
      <c r="F22" s="12"/>
      <c r="G22" s="19"/>
      <c r="H22" s="12"/>
    </row>
    <row r="23" spans="2:8" x14ac:dyDescent="0.3">
      <c r="B23" s="12"/>
      <c r="C23" s="12"/>
      <c r="D23" s="12"/>
      <c r="E23" s="12"/>
      <c r="F23" s="12"/>
      <c r="G23" s="19"/>
      <c r="H23" s="12"/>
    </row>
    <row r="24" spans="2:8" x14ac:dyDescent="0.3">
      <c r="B24" s="12"/>
      <c r="C24" s="12"/>
      <c r="D24" s="12"/>
      <c r="E24" s="12"/>
      <c r="F24" s="12"/>
      <c r="G24" s="19"/>
      <c r="H24" s="12"/>
    </row>
    <row r="25" spans="2:8" x14ac:dyDescent="0.3">
      <c r="B25" s="12"/>
      <c r="C25" s="12"/>
      <c r="D25" s="12"/>
      <c r="E25" s="12"/>
      <c r="F25" s="12"/>
      <c r="G25" s="19"/>
      <c r="H25" s="12"/>
    </row>
    <row r="26" spans="2:8" x14ac:dyDescent="0.3">
      <c r="B26" s="12"/>
      <c r="C26" s="12"/>
      <c r="D26" s="12"/>
      <c r="E26" s="12"/>
      <c r="F26" s="12"/>
      <c r="G26" s="19"/>
      <c r="H26" s="12"/>
    </row>
    <row r="28" spans="2:8" x14ac:dyDescent="0.3">
      <c r="B28" s="7" t="s">
        <v>22</v>
      </c>
      <c r="D28" s="7">
        <f>SUM(D6:D26)</f>
        <v>0</v>
      </c>
      <c r="E28" s="7">
        <f>SUM(E6:E26)</f>
        <v>6100</v>
      </c>
      <c r="F28" s="20">
        <f>IFERROR(AVERAGE(F6:F26),0)</f>
        <v>972.5</v>
      </c>
    </row>
  </sheetData>
  <mergeCells count="2">
    <mergeCell ref="B3:H3"/>
    <mergeCell ref="A2:G2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:I26"/>
    </sheetView>
  </sheetViews>
  <sheetFormatPr defaultColWidth="8.77734375" defaultRowHeight="14.4" x14ac:dyDescent="0.3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.109375" customWidth="1"/>
    <col min="8" max="8" width="18" customWidth="1"/>
    <col min="9" max="9" width="28" customWidth="1"/>
  </cols>
  <sheetData>
    <row r="2" spans="1:9" ht="25.5" customHeight="1" x14ac:dyDescent="0.3">
      <c r="A2" s="23" t="s">
        <v>92</v>
      </c>
      <c r="B2" s="22"/>
      <c r="C2" s="22"/>
      <c r="D2" s="22"/>
      <c r="E2" s="22"/>
      <c r="F2" s="22"/>
      <c r="G2" s="22"/>
      <c r="H2" s="22"/>
    </row>
    <row r="3" spans="1:9" x14ac:dyDescent="0.3">
      <c r="B3" s="21" t="s">
        <v>93</v>
      </c>
      <c r="C3" s="22"/>
      <c r="D3" s="22"/>
      <c r="E3" s="22"/>
      <c r="F3" s="22"/>
      <c r="G3" s="22"/>
      <c r="H3" s="22"/>
      <c r="I3" s="22"/>
    </row>
    <row r="5" spans="1:9" ht="31.5" customHeight="1" x14ac:dyDescent="0.3">
      <c r="B5" s="1" t="s">
        <v>94</v>
      </c>
      <c r="C5" s="1" t="s">
        <v>95</v>
      </c>
      <c r="D5" s="1" t="s">
        <v>96</v>
      </c>
      <c r="E5" s="1" t="s">
        <v>97</v>
      </c>
      <c r="F5" s="1" t="s">
        <v>98</v>
      </c>
      <c r="G5" s="1" t="s">
        <v>99</v>
      </c>
      <c r="H5" s="1" t="s">
        <v>100</v>
      </c>
      <c r="I5" s="1" t="s">
        <v>89</v>
      </c>
    </row>
    <row r="6" spans="1:9" ht="15" thickBot="1" x14ac:dyDescent="0.35">
      <c r="B6" s="11" t="s">
        <v>101</v>
      </c>
      <c r="C6" s="11" t="s">
        <v>102</v>
      </c>
      <c r="D6" s="11" t="s">
        <v>103</v>
      </c>
      <c r="E6" s="11" t="s">
        <v>104</v>
      </c>
      <c r="F6" s="11" t="s">
        <v>104</v>
      </c>
      <c r="G6" s="11" t="s">
        <v>105</v>
      </c>
      <c r="H6" s="11" t="s">
        <v>106</v>
      </c>
      <c r="I6" s="11" t="s">
        <v>107</v>
      </c>
    </row>
    <row r="7" spans="1:9" ht="27" thickBot="1" x14ac:dyDescent="0.35">
      <c r="B7" s="32" t="s">
        <v>197</v>
      </c>
      <c r="C7" s="32" t="s">
        <v>198</v>
      </c>
      <c r="D7" s="32" t="s">
        <v>103</v>
      </c>
      <c r="E7" s="32" t="s">
        <v>104</v>
      </c>
      <c r="F7" s="32" t="s">
        <v>104</v>
      </c>
      <c r="G7" s="32" t="s">
        <v>105</v>
      </c>
      <c r="H7" s="32" t="s">
        <v>106</v>
      </c>
      <c r="I7" s="32" t="s">
        <v>199</v>
      </c>
    </row>
    <row r="8" spans="1:9" ht="15" thickBot="1" x14ac:dyDescent="0.35">
      <c r="B8" s="32" t="s">
        <v>200</v>
      </c>
      <c r="C8" s="32" t="s">
        <v>201</v>
      </c>
      <c r="D8" s="32" t="s">
        <v>103</v>
      </c>
      <c r="E8" s="32" t="s">
        <v>104</v>
      </c>
      <c r="F8" s="32" t="s">
        <v>104</v>
      </c>
      <c r="G8" s="32" t="s">
        <v>105</v>
      </c>
      <c r="H8" s="32" t="s">
        <v>106</v>
      </c>
      <c r="I8" s="32" t="s">
        <v>202</v>
      </c>
    </row>
    <row r="9" spans="1:9" ht="15" thickBot="1" x14ac:dyDescent="0.35">
      <c r="B9" s="32" t="s">
        <v>203</v>
      </c>
      <c r="C9" s="32" t="s">
        <v>204</v>
      </c>
      <c r="D9" s="32" t="s">
        <v>205</v>
      </c>
      <c r="E9" s="32" t="s">
        <v>104</v>
      </c>
      <c r="F9" s="32" t="s">
        <v>105</v>
      </c>
      <c r="G9" s="32" t="s">
        <v>105</v>
      </c>
      <c r="H9" s="32" t="s">
        <v>106</v>
      </c>
      <c r="I9" s="32" t="s">
        <v>206</v>
      </c>
    </row>
    <row r="10" spans="1:9" ht="15" thickBot="1" x14ac:dyDescent="0.35">
      <c r="B10" s="32" t="s">
        <v>207</v>
      </c>
      <c r="C10" s="32" t="s">
        <v>208</v>
      </c>
      <c r="D10" s="32" t="s">
        <v>103</v>
      </c>
      <c r="E10" s="32" t="s">
        <v>105</v>
      </c>
      <c r="F10" s="32" t="s">
        <v>105</v>
      </c>
      <c r="G10" s="32" t="s">
        <v>105</v>
      </c>
      <c r="H10" s="32" t="s">
        <v>106</v>
      </c>
      <c r="I10" s="32" t="s">
        <v>209</v>
      </c>
    </row>
    <row r="11" spans="1:9" ht="15" thickBot="1" x14ac:dyDescent="0.35">
      <c r="B11" s="32" t="s">
        <v>210</v>
      </c>
      <c r="C11" s="32" t="s">
        <v>211</v>
      </c>
      <c r="D11" s="32" t="s">
        <v>212</v>
      </c>
      <c r="E11" s="32" t="s">
        <v>104</v>
      </c>
      <c r="F11" s="32" t="s">
        <v>104</v>
      </c>
      <c r="G11" s="32" t="s">
        <v>104</v>
      </c>
      <c r="H11" s="32" t="s">
        <v>105</v>
      </c>
      <c r="I11" s="32" t="s">
        <v>213</v>
      </c>
    </row>
    <row r="12" spans="1:9" ht="15" thickBot="1" x14ac:dyDescent="0.35">
      <c r="B12" s="32" t="s">
        <v>214</v>
      </c>
      <c r="C12" s="32" t="s">
        <v>215</v>
      </c>
      <c r="D12" s="32" t="s">
        <v>103</v>
      </c>
      <c r="E12" s="32" t="s">
        <v>104</v>
      </c>
      <c r="F12" s="32" t="s">
        <v>104</v>
      </c>
      <c r="G12" s="32" t="s">
        <v>105</v>
      </c>
      <c r="H12" s="32" t="s">
        <v>106</v>
      </c>
      <c r="I12" s="32" t="s">
        <v>216</v>
      </c>
    </row>
    <row r="13" spans="1:9" ht="15" thickBot="1" x14ac:dyDescent="0.35">
      <c r="B13" s="32" t="s">
        <v>217</v>
      </c>
      <c r="C13" s="32" t="s">
        <v>218</v>
      </c>
      <c r="D13" s="32" t="s">
        <v>205</v>
      </c>
      <c r="E13" s="32" t="s">
        <v>104</v>
      </c>
      <c r="F13" s="32" t="s">
        <v>104</v>
      </c>
      <c r="G13" s="32" t="s">
        <v>104</v>
      </c>
      <c r="H13" s="32" t="s">
        <v>104</v>
      </c>
      <c r="I13" s="32" t="s">
        <v>219</v>
      </c>
    </row>
    <row r="14" spans="1:9" ht="15" thickBot="1" x14ac:dyDescent="0.35">
      <c r="B14" s="32" t="s">
        <v>220</v>
      </c>
      <c r="C14" s="32" t="s">
        <v>221</v>
      </c>
      <c r="D14" s="32" t="s">
        <v>103</v>
      </c>
      <c r="E14" s="32" t="s">
        <v>105</v>
      </c>
      <c r="F14" s="32" t="s">
        <v>105</v>
      </c>
      <c r="G14" s="32" t="s">
        <v>105</v>
      </c>
      <c r="H14" s="32" t="s">
        <v>106</v>
      </c>
      <c r="I14" s="32" t="s">
        <v>222</v>
      </c>
    </row>
    <row r="15" spans="1:9" ht="27" thickBot="1" x14ac:dyDescent="0.35">
      <c r="B15" s="32" t="s">
        <v>223</v>
      </c>
      <c r="C15" s="32" t="s">
        <v>224</v>
      </c>
      <c r="D15" s="32" t="s">
        <v>205</v>
      </c>
      <c r="E15" s="32" t="s">
        <v>104</v>
      </c>
      <c r="F15" s="32" t="s">
        <v>105</v>
      </c>
      <c r="G15" s="32" t="s">
        <v>105</v>
      </c>
      <c r="H15" s="32" t="s">
        <v>106</v>
      </c>
      <c r="I15" s="32" t="s">
        <v>225</v>
      </c>
    </row>
    <row r="16" spans="1:9" ht="15" thickBot="1" x14ac:dyDescent="0.35">
      <c r="B16" s="32" t="s">
        <v>226</v>
      </c>
      <c r="C16" s="32" t="s">
        <v>227</v>
      </c>
      <c r="D16" s="32" t="s">
        <v>103</v>
      </c>
      <c r="E16" s="32" t="s">
        <v>104</v>
      </c>
      <c r="F16" s="32" t="s">
        <v>104</v>
      </c>
      <c r="G16" s="32" t="s">
        <v>105</v>
      </c>
      <c r="H16" s="32" t="s">
        <v>106</v>
      </c>
      <c r="I16" s="32" t="s">
        <v>228</v>
      </c>
    </row>
    <row r="17" spans="2:9" ht="15" thickBot="1" x14ac:dyDescent="0.35">
      <c r="B17" s="32" t="s">
        <v>229</v>
      </c>
      <c r="C17" s="32" t="s">
        <v>230</v>
      </c>
      <c r="D17" s="32" t="s">
        <v>103</v>
      </c>
      <c r="E17" s="32" t="s">
        <v>104</v>
      </c>
      <c r="F17" s="32" t="s">
        <v>104</v>
      </c>
      <c r="G17" s="32" t="s">
        <v>105</v>
      </c>
      <c r="H17" s="32" t="s">
        <v>106</v>
      </c>
      <c r="I17" s="32" t="s">
        <v>103</v>
      </c>
    </row>
    <row r="18" spans="2:9" ht="15" thickBot="1" x14ac:dyDescent="0.35">
      <c r="B18" s="32" t="s">
        <v>231</v>
      </c>
      <c r="C18" s="32" t="s">
        <v>232</v>
      </c>
      <c r="D18" s="32" t="s">
        <v>212</v>
      </c>
      <c r="E18" s="32" t="s">
        <v>104</v>
      </c>
      <c r="F18" s="32" t="s">
        <v>104</v>
      </c>
      <c r="G18" s="32" t="s">
        <v>104</v>
      </c>
      <c r="H18" s="32" t="s">
        <v>105</v>
      </c>
      <c r="I18" s="32" t="s">
        <v>233</v>
      </c>
    </row>
    <row r="19" spans="2:9" ht="15" thickBot="1" x14ac:dyDescent="0.35">
      <c r="B19" s="32" t="s">
        <v>234</v>
      </c>
      <c r="C19" s="32" t="s">
        <v>235</v>
      </c>
      <c r="D19" s="32" t="s">
        <v>205</v>
      </c>
      <c r="E19" s="32" t="s">
        <v>104</v>
      </c>
      <c r="F19" s="32" t="s">
        <v>105</v>
      </c>
      <c r="G19" s="32" t="s">
        <v>105</v>
      </c>
      <c r="H19" s="32" t="s">
        <v>106</v>
      </c>
      <c r="I19" s="32" t="s">
        <v>236</v>
      </c>
    </row>
    <row r="20" spans="2:9" ht="15" thickBot="1" x14ac:dyDescent="0.35">
      <c r="B20" s="32" t="s">
        <v>237</v>
      </c>
      <c r="C20" s="32" t="s">
        <v>238</v>
      </c>
      <c r="D20" s="32" t="s">
        <v>103</v>
      </c>
      <c r="E20" s="32" t="s">
        <v>105</v>
      </c>
      <c r="F20" s="32" t="s">
        <v>105</v>
      </c>
      <c r="G20" s="32" t="s">
        <v>105</v>
      </c>
      <c r="H20" s="32" t="s">
        <v>106</v>
      </c>
      <c r="I20" s="32" t="s">
        <v>154</v>
      </c>
    </row>
    <row r="21" spans="2:9" ht="15" thickBot="1" x14ac:dyDescent="0.35">
      <c r="B21" s="32" t="s">
        <v>239</v>
      </c>
      <c r="C21" s="32" t="s">
        <v>240</v>
      </c>
      <c r="D21" s="32" t="s">
        <v>103</v>
      </c>
      <c r="E21" s="32" t="s">
        <v>104</v>
      </c>
      <c r="F21" s="32" t="s">
        <v>104</v>
      </c>
      <c r="G21" s="32" t="s">
        <v>105</v>
      </c>
      <c r="H21" s="32" t="s">
        <v>106</v>
      </c>
      <c r="I21" s="32" t="s">
        <v>241</v>
      </c>
    </row>
    <row r="22" spans="2:9" ht="27" thickBot="1" x14ac:dyDescent="0.35">
      <c r="B22" s="32" t="s">
        <v>242</v>
      </c>
      <c r="C22" s="32" t="s">
        <v>243</v>
      </c>
      <c r="D22" s="32" t="s">
        <v>205</v>
      </c>
      <c r="E22" s="32" t="s">
        <v>104</v>
      </c>
      <c r="F22" s="32" t="s">
        <v>104</v>
      </c>
      <c r="G22" s="32" t="s">
        <v>104</v>
      </c>
      <c r="H22" s="32" t="s">
        <v>104</v>
      </c>
      <c r="I22" s="32" t="s">
        <v>244</v>
      </c>
    </row>
    <row r="23" spans="2:9" ht="15" thickBot="1" x14ac:dyDescent="0.35">
      <c r="B23" s="32" t="s">
        <v>245</v>
      </c>
      <c r="C23" s="32" t="s">
        <v>246</v>
      </c>
      <c r="D23" s="32" t="s">
        <v>103</v>
      </c>
      <c r="E23" s="32" t="s">
        <v>104</v>
      </c>
      <c r="F23" s="32" t="s">
        <v>104</v>
      </c>
      <c r="G23" s="32" t="s">
        <v>105</v>
      </c>
      <c r="H23" s="32" t="s">
        <v>106</v>
      </c>
      <c r="I23" s="32" t="s">
        <v>103</v>
      </c>
    </row>
    <row r="24" spans="2:9" ht="15" thickBot="1" x14ac:dyDescent="0.35">
      <c r="B24" s="32" t="s">
        <v>247</v>
      </c>
      <c r="C24" s="32" t="s">
        <v>248</v>
      </c>
      <c r="D24" s="32" t="s">
        <v>103</v>
      </c>
      <c r="E24" s="32" t="s">
        <v>105</v>
      </c>
      <c r="F24" s="32" t="s">
        <v>105</v>
      </c>
      <c r="G24" s="32" t="s">
        <v>105</v>
      </c>
      <c r="H24" s="32" t="s">
        <v>106</v>
      </c>
      <c r="I24" s="32" t="s">
        <v>249</v>
      </c>
    </row>
    <row r="25" spans="2:9" ht="15" thickBot="1" x14ac:dyDescent="0.35">
      <c r="B25" s="32" t="s">
        <v>250</v>
      </c>
      <c r="C25" s="32" t="s">
        <v>251</v>
      </c>
      <c r="D25" s="32" t="s">
        <v>205</v>
      </c>
      <c r="E25" s="32" t="s">
        <v>104</v>
      </c>
      <c r="F25" s="32" t="s">
        <v>105</v>
      </c>
      <c r="G25" s="32" t="s">
        <v>105</v>
      </c>
      <c r="H25" s="32" t="s">
        <v>106</v>
      </c>
      <c r="I25" s="32" t="s">
        <v>252</v>
      </c>
    </row>
    <row r="26" spans="2:9" ht="15" thickBot="1" x14ac:dyDescent="0.35">
      <c r="B26" s="32" t="s">
        <v>253</v>
      </c>
      <c r="C26" s="32" t="s">
        <v>254</v>
      </c>
      <c r="D26" s="32" t="s">
        <v>103</v>
      </c>
      <c r="E26" s="32" t="s">
        <v>104</v>
      </c>
      <c r="F26" s="32" t="s">
        <v>104</v>
      </c>
      <c r="G26" s="32" t="s">
        <v>105</v>
      </c>
      <c r="H26" s="32" t="s">
        <v>106</v>
      </c>
      <c r="I26" s="32" t="s">
        <v>255</v>
      </c>
    </row>
    <row r="28" spans="2:9" x14ac:dyDescent="0.3">
      <c r="B28" s="7" t="s">
        <v>103</v>
      </c>
      <c r="C28" s="7">
        <f>COUNTIF(D6:D26,"Compliant")</f>
        <v>13</v>
      </c>
    </row>
    <row r="29" spans="2:9" x14ac:dyDescent="0.3">
      <c r="B29" s="7" t="s">
        <v>108</v>
      </c>
      <c r="C29" s="7">
        <f>COUNTA(B6:B26)</f>
        <v>21</v>
      </c>
    </row>
    <row r="30" spans="2:9" x14ac:dyDescent="0.3">
      <c r="B30" s="7" t="s">
        <v>109</v>
      </c>
      <c r="C30" s="7">
        <f>COUNTIF(E6:E26,"Yes")</f>
        <v>17</v>
      </c>
    </row>
    <row r="31" spans="2:9" x14ac:dyDescent="0.3">
      <c r="B31" s="7" t="s">
        <v>110</v>
      </c>
      <c r="C31" s="7">
        <f>COUNTIF(F6:F26,"Yes")</f>
        <v>13</v>
      </c>
    </row>
    <row r="32" spans="2:9" x14ac:dyDescent="0.3">
      <c r="B32" s="7" t="s">
        <v>111</v>
      </c>
      <c r="C32" s="7">
        <f>COUNTIF(G6:G26,"Yes")</f>
        <v>4</v>
      </c>
    </row>
    <row r="33" spans="2:3" x14ac:dyDescent="0.3">
      <c r="B33" s="7" t="s">
        <v>112</v>
      </c>
      <c r="C33" s="7">
        <f>COUNTIF(H6:H26,"Yes")</f>
        <v>2</v>
      </c>
    </row>
  </sheetData>
  <mergeCells count="2">
    <mergeCell ref="B3:I3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7734375" defaultRowHeight="14.4" x14ac:dyDescent="0.3"/>
  <cols>
    <col min="1" max="1" width="3" customWidth="1"/>
    <col min="2" max="2" width="30" customWidth="1"/>
    <col min="3" max="3" width="16" customWidth="1"/>
    <col min="4" max="5" width="20" customWidth="1"/>
    <col min="6" max="6" width="22.109375" customWidth="1"/>
    <col min="7" max="7" width="32" customWidth="1"/>
    <col min="8" max="8" width="24" customWidth="1"/>
  </cols>
  <sheetData>
    <row r="2" spans="1:8" ht="25.5" customHeight="1" x14ac:dyDescent="0.3">
      <c r="A2" s="23" t="s">
        <v>113</v>
      </c>
      <c r="B2" s="22"/>
      <c r="C2" s="22"/>
      <c r="D2" s="22"/>
      <c r="E2" s="22"/>
      <c r="F2" s="22"/>
      <c r="G2" s="22"/>
    </row>
    <row r="3" spans="1:8" x14ac:dyDescent="0.3">
      <c r="B3" s="21" t="s">
        <v>114</v>
      </c>
      <c r="C3" s="22"/>
      <c r="D3" s="22"/>
      <c r="E3" s="22"/>
      <c r="F3" s="22"/>
      <c r="G3" s="22"/>
      <c r="H3" s="22"/>
    </row>
    <row r="5" spans="1:8" ht="31.5" customHeight="1" x14ac:dyDescent="0.3">
      <c r="B5" s="1" t="s">
        <v>115</v>
      </c>
      <c r="C5" s="1" t="s">
        <v>4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89</v>
      </c>
    </row>
    <row r="6" spans="1:8" ht="36" customHeight="1" x14ac:dyDescent="0.3">
      <c r="B6" s="11" t="s">
        <v>120</v>
      </c>
      <c r="C6" s="11" t="s">
        <v>121</v>
      </c>
      <c r="D6" s="11" t="s">
        <v>122</v>
      </c>
      <c r="E6" s="11">
        <v>85</v>
      </c>
      <c r="F6" s="11">
        <v>30</v>
      </c>
      <c r="G6" s="11" t="s">
        <v>123</v>
      </c>
      <c r="H6" s="11" t="s">
        <v>124</v>
      </c>
    </row>
    <row r="7" spans="1:8" x14ac:dyDescent="0.3">
      <c r="B7" s="12" t="s">
        <v>125</v>
      </c>
      <c r="C7" s="12" t="s">
        <v>15</v>
      </c>
      <c r="D7" s="12" t="s">
        <v>126</v>
      </c>
      <c r="E7" s="12">
        <v>45</v>
      </c>
      <c r="F7" s="12">
        <v>18</v>
      </c>
      <c r="G7" s="12" t="s">
        <v>127</v>
      </c>
      <c r="H7" s="12" t="s">
        <v>128</v>
      </c>
    </row>
    <row r="8" spans="1:8" x14ac:dyDescent="0.3">
      <c r="B8" s="12" t="s">
        <v>129</v>
      </c>
      <c r="C8" s="12" t="s">
        <v>18</v>
      </c>
      <c r="D8" s="12" t="s">
        <v>122</v>
      </c>
      <c r="E8" s="12">
        <v>32</v>
      </c>
      <c r="F8" s="12">
        <v>15</v>
      </c>
      <c r="G8" s="12" t="s">
        <v>130</v>
      </c>
      <c r="H8" s="12" t="s">
        <v>131</v>
      </c>
    </row>
    <row r="9" spans="1:8" x14ac:dyDescent="0.3">
      <c r="B9" s="12" t="s">
        <v>132</v>
      </c>
      <c r="C9" s="12" t="s">
        <v>21</v>
      </c>
      <c r="D9" s="12" t="s">
        <v>126</v>
      </c>
      <c r="E9" s="12">
        <v>20</v>
      </c>
      <c r="F9" s="12">
        <v>8</v>
      </c>
      <c r="G9" s="12" t="s">
        <v>133</v>
      </c>
      <c r="H9" s="12" t="s">
        <v>134</v>
      </c>
    </row>
    <row r="10" spans="1:8" x14ac:dyDescent="0.3">
      <c r="B10" s="12"/>
      <c r="C10" s="12"/>
      <c r="D10" s="12"/>
      <c r="E10" s="12"/>
      <c r="F10" s="12"/>
      <c r="G10" s="12"/>
      <c r="H10" s="12"/>
    </row>
    <row r="11" spans="1:8" x14ac:dyDescent="0.3">
      <c r="B11" s="12"/>
      <c r="C11" s="12"/>
      <c r="D11" s="12"/>
      <c r="E11" s="12"/>
      <c r="F11" s="12"/>
      <c r="G11" s="12"/>
      <c r="H11" s="12"/>
    </row>
    <row r="12" spans="1:8" x14ac:dyDescent="0.3">
      <c r="B12" s="12"/>
      <c r="C12" s="12"/>
      <c r="D12" s="12"/>
      <c r="E12" s="12"/>
      <c r="F12" s="12"/>
      <c r="G12" s="12"/>
      <c r="H12" s="12"/>
    </row>
    <row r="13" spans="1:8" x14ac:dyDescent="0.3">
      <c r="B13" s="12"/>
      <c r="C13" s="12"/>
      <c r="D13" s="12"/>
      <c r="E13" s="12"/>
      <c r="F13" s="12"/>
      <c r="G13" s="12"/>
      <c r="H13" s="12"/>
    </row>
    <row r="14" spans="1:8" x14ac:dyDescent="0.3">
      <c r="B14" s="12"/>
      <c r="C14" s="12"/>
      <c r="D14" s="12"/>
      <c r="E14" s="12"/>
      <c r="F14" s="12"/>
      <c r="G14" s="12"/>
      <c r="H14" s="12"/>
    </row>
    <row r="15" spans="1:8" x14ac:dyDescent="0.3">
      <c r="B15" s="12"/>
      <c r="C15" s="12"/>
      <c r="D15" s="12"/>
      <c r="E15" s="12"/>
      <c r="F15" s="12"/>
      <c r="G15" s="12"/>
      <c r="H15" s="12"/>
    </row>
    <row r="16" spans="1:8" x14ac:dyDescent="0.3">
      <c r="B16" s="12"/>
      <c r="C16" s="12"/>
      <c r="D16" s="12"/>
      <c r="E16" s="12"/>
      <c r="F16" s="12"/>
      <c r="G16" s="12"/>
      <c r="H16" s="12"/>
    </row>
    <row r="17" spans="2:8" x14ac:dyDescent="0.3">
      <c r="B17" s="12"/>
      <c r="C17" s="12"/>
      <c r="D17" s="12"/>
      <c r="E17" s="12"/>
      <c r="F17" s="12"/>
      <c r="G17" s="12"/>
      <c r="H17" s="12"/>
    </row>
    <row r="18" spans="2:8" x14ac:dyDescent="0.3">
      <c r="B18" s="12"/>
      <c r="C18" s="12"/>
      <c r="D18" s="12"/>
      <c r="E18" s="12"/>
      <c r="F18" s="12"/>
      <c r="G18" s="12"/>
      <c r="H18" s="12"/>
    </row>
    <row r="19" spans="2:8" x14ac:dyDescent="0.3">
      <c r="B19" s="12"/>
      <c r="C19" s="12"/>
      <c r="D19" s="12"/>
      <c r="E19" s="12"/>
      <c r="F19" s="12"/>
      <c r="G19" s="12"/>
      <c r="H19" s="12"/>
    </row>
    <row r="20" spans="2:8" x14ac:dyDescent="0.3">
      <c r="B20" s="12"/>
      <c r="C20" s="12"/>
      <c r="D20" s="12"/>
      <c r="E20" s="12"/>
      <c r="F20" s="12"/>
      <c r="G20" s="12"/>
      <c r="H20" s="12"/>
    </row>
    <row r="21" spans="2:8" x14ac:dyDescent="0.3">
      <c r="B21" s="12"/>
      <c r="C21" s="12"/>
      <c r="D21" s="12"/>
      <c r="E21" s="12"/>
      <c r="F21" s="12"/>
      <c r="G21" s="12"/>
      <c r="H21" s="12"/>
    </row>
    <row r="22" spans="2:8" x14ac:dyDescent="0.3">
      <c r="B22" s="12"/>
      <c r="C22" s="12"/>
      <c r="D22" s="12"/>
      <c r="E22" s="12"/>
      <c r="F22" s="12"/>
      <c r="G22" s="12"/>
      <c r="H22" s="12"/>
    </row>
    <row r="23" spans="2:8" x14ac:dyDescent="0.3">
      <c r="B23" s="12"/>
      <c r="C23" s="12"/>
      <c r="D23" s="12"/>
      <c r="E23" s="12"/>
      <c r="F23" s="12"/>
      <c r="G23" s="12"/>
      <c r="H23" s="12"/>
    </row>
    <row r="24" spans="2:8" x14ac:dyDescent="0.3">
      <c r="B24" s="12"/>
      <c r="C24" s="12"/>
      <c r="D24" s="12"/>
      <c r="E24" s="12"/>
      <c r="F24" s="12"/>
      <c r="G24" s="12"/>
      <c r="H24" s="12"/>
    </row>
    <row r="25" spans="2:8" x14ac:dyDescent="0.3">
      <c r="B25" s="12"/>
      <c r="C25" s="12"/>
      <c r="D25" s="12"/>
      <c r="E25" s="12"/>
      <c r="F25" s="12"/>
      <c r="G25" s="12"/>
      <c r="H25" s="12"/>
    </row>
    <row r="26" spans="2:8" x14ac:dyDescent="0.3">
      <c r="B26" s="12"/>
      <c r="C26" s="12"/>
      <c r="D26" s="12"/>
      <c r="E26" s="12"/>
      <c r="F26" s="12"/>
      <c r="G26" s="12"/>
      <c r="H26" s="12"/>
    </row>
    <row r="28" spans="2:8" x14ac:dyDescent="0.3">
      <c r="B28" s="7" t="s">
        <v>135</v>
      </c>
      <c r="C28" s="7">
        <f>COUNTA(B6:B26)</f>
        <v>4</v>
      </c>
    </row>
    <row r="29" spans="2:8" x14ac:dyDescent="0.3">
      <c r="B29" s="7" t="s">
        <v>136</v>
      </c>
      <c r="C29" s="7">
        <f>COUNTIF(D6:D26,"Formalized")+COUNTIF(D6:D26,"Remediated")</f>
        <v>0</v>
      </c>
    </row>
    <row r="30" spans="2:8" x14ac:dyDescent="0.3">
      <c r="B30" s="7" t="s">
        <v>137</v>
      </c>
      <c r="C30" s="7">
        <f>SUM(E6:E26)</f>
        <v>182</v>
      </c>
    </row>
    <row r="31" spans="2:8" x14ac:dyDescent="0.3">
      <c r="B31" s="7" t="s">
        <v>138</v>
      </c>
      <c r="C31" s="7">
        <f>SUM(F6:F26)</f>
        <v>71</v>
      </c>
    </row>
  </sheetData>
  <mergeCells count="2">
    <mergeCell ref="B3:H3"/>
    <mergeCell ref="A2:G2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7734375" defaultRowHeight="14.4" x14ac:dyDescent="0.3"/>
  <cols>
    <col min="1" max="1" width="3" customWidth="1"/>
    <col min="2" max="2" width="28" customWidth="1"/>
    <col min="3" max="3" width="16" customWidth="1"/>
    <col min="4" max="4" width="18" customWidth="1"/>
    <col min="5" max="5" width="14" customWidth="1"/>
    <col min="6" max="6" width="22.109375" customWidth="1"/>
    <col min="7" max="7" width="20" customWidth="1"/>
    <col min="8" max="8" width="18" customWidth="1"/>
    <col min="9" max="9" width="30" customWidth="1"/>
  </cols>
  <sheetData>
    <row r="2" spans="1:9" ht="25.5" customHeight="1" x14ac:dyDescent="0.3">
      <c r="A2" s="23" t="s">
        <v>139</v>
      </c>
      <c r="B2" s="22"/>
      <c r="C2" s="22"/>
      <c r="D2" s="22"/>
      <c r="E2" s="22"/>
      <c r="F2" s="22"/>
      <c r="G2" s="22"/>
      <c r="H2" s="22"/>
    </row>
    <row r="3" spans="1:9" x14ac:dyDescent="0.3">
      <c r="B3" s="21" t="s">
        <v>140</v>
      </c>
      <c r="C3" s="22"/>
      <c r="D3" s="22"/>
      <c r="E3" s="22"/>
      <c r="F3" s="22"/>
      <c r="G3" s="22"/>
      <c r="H3" s="22"/>
      <c r="I3" s="22"/>
    </row>
    <row r="5" spans="1:9" ht="31.5" customHeight="1" x14ac:dyDescent="0.3">
      <c r="B5" s="1" t="s">
        <v>141</v>
      </c>
      <c r="C5" s="1" t="s">
        <v>4</v>
      </c>
      <c r="D5" s="1" t="s">
        <v>142</v>
      </c>
      <c r="E5" s="1" t="s">
        <v>143</v>
      </c>
      <c r="F5" s="1" t="s">
        <v>144</v>
      </c>
      <c r="G5" s="1" t="s">
        <v>145</v>
      </c>
      <c r="H5" s="1" t="s">
        <v>146</v>
      </c>
      <c r="I5" s="1" t="s">
        <v>89</v>
      </c>
    </row>
    <row r="6" spans="1:9" ht="24.75" customHeight="1" x14ac:dyDescent="0.3">
      <c r="B6" s="11" t="s">
        <v>120</v>
      </c>
      <c r="C6" s="11" t="s">
        <v>121</v>
      </c>
      <c r="D6" s="11" t="s">
        <v>147</v>
      </c>
      <c r="E6" s="11" t="s">
        <v>148</v>
      </c>
      <c r="F6" s="11" t="s">
        <v>149</v>
      </c>
      <c r="G6" s="11" t="s">
        <v>104</v>
      </c>
      <c r="H6" s="11">
        <v>210</v>
      </c>
      <c r="I6" s="11" t="s">
        <v>150</v>
      </c>
    </row>
    <row r="7" spans="1:9" x14ac:dyDescent="0.3">
      <c r="B7" s="12" t="s">
        <v>125</v>
      </c>
      <c r="C7" s="12" t="s">
        <v>15</v>
      </c>
      <c r="D7" s="12" t="s">
        <v>151</v>
      </c>
      <c r="E7" s="12" t="s">
        <v>152</v>
      </c>
      <c r="F7" s="12" t="s">
        <v>153</v>
      </c>
      <c r="G7" s="12" t="s">
        <v>104</v>
      </c>
      <c r="H7" s="12">
        <v>120</v>
      </c>
      <c r="I7" s="12" t="s">
        <v>154</v>
      </c>
    </row>
    <row r="8" spans="1:9" x14ac:dyDescent="0.3">
      <c r="B8" s="12" t="s">
        <v>129</v>
      </c>
      <c r="C8" s="12" t="s">
        <v>18</v>
      </c>
      <c r="D8" s="12" t="s">
        <v>155</v>
      </c>
      <c r="E8" s="12" t="s">
        <v>156</v>
      </c>
      <c r="F8" s="12" t="s">
        <v>153</v>
      </c>
      <c r="G8" s="12" t="s">
        <v>105</v>
      </c>
      <c r="H8" s="12">
        <v>0</v>
      </c>
      <c r="I8" s="12" t="s">
        <v>157</v>
      </c>
    </row>
    <row r="9" spans="1:9" x14ac:dyDescent="0.3">
      <c r="B9" s="12" t="s">
        <v>132</v>
      </c>
      <c r="C9" s="12" t="s">
        <v>21</v>
      </c>
      <c r="D9" s="12" t="s">
        <v>158</v>
      </c>
      <c r="E9" s="12" t="s">
        <v>159</v>
      </c>
      <c r="F9" s="12" t="s">
        <v>160</v>
      </c>
      <c r="G9" s="12" t="s">
        <v>104</v>
      </c>
      <c r="H9" s="12">
        <v>75</v>
      </c>
      <c r="I9" s="12" t="s">
        <v>161</v>
      </c>
    </row>
    <row r="10" spans="1:9" x14ac:dyDescent="0.3">
      <c r="B10" s="12"/>
      <c r="C10" s="12"/>
      <c r="D10" s="12"/>
      <c r="E10" s="12"/>
      <c r="F10" s="12"/>
      <c r="G10" s="12"/>
      <c r="H10" s="12"/>
      <c r="I10" s="12"/>
    </row>
    <row r="11" spans="1:9" x14ac:dyDescent="0.3">
      <c r="B11" s="12"/>
      <c r="C11" s="12"/>
      <c r="D11" s="12"/>
      <c r="E11" s="12"/>
      <c r="F11" s="12"/>
      <c r="G11" s="12"/>
      <c r="H11" s="12"/>
      <c r="I11" s="12"/>
    </row>
    <row r="12" spans="1:9" x14ac:dyDescent="0.3">
      <c r="B12" s="12"/>
      <c r="C12" s="12"/>
      <c r="D12" s="12"/>
      <c r="E12" s="12"/>
      <c r="F12" s="12"/>
      <c r="G12" s="12"/>
      <c r="H12" s="12"/>
      <c r="I12" s="12"/>
    </row>
    <row r="13" spans="1:9" x14ac:dyDescent="0.3">
      <c r="B13" s="12"/>
      <c r="C13" s="12"/>
      <c r="D13" s="12"/>
      <c r="E13" s="12"/>
      <c r="F13" s="12"/>
      <c r="G13" s="12"/>
      <c r="H13" s="12"/>
      <c r="I13" s="12"/>
    </row>
    <row r="14" spans="1:9" x14ac:dyDescent="0.3">
      <c r="B14" s="12"/>
      <c r="C14" s="12"/>
      <c r="D14" s="12"/>
      <c r="E14" s="12"/>
      <c r="F14" s="12"/>
      <c r="G14" s="12"/>
      <c r="H14" s="12"/>
      <c r="I14" s="12"/>
    </row>
    <row r="15" spans="1:9" x14ac:dyDescent="0.3">
      <c r="B15" s="12"/>
      <c r="C15" s="12"/>
      <c r="D15" s="12"/>
      <c r="E15" s="12"/>
      <c r="F15" s="12"/>
      <c r="G15" s="12"/>
      <c r="H15" s="12"/>
      <c r="I15" s="12"/>
    </row>
    <row r="16" spans="1:9" x14ac:dyDescent="0.3">
      <c r="B16" s="12"/>
      <c r="C16" s="12"/>
      <c r="D16" s="12"/>
      <c r="E16" s="12"/>
      <c r="F16" s="12"/>
      <c r="G16" s="12"/>
      <c r="H16" s="12"/>
      <c r="I16" s="12"/>
    </row>
    <row r="17" spans="2:9" x14ac:dyDescent="0.3">
      <c r="B17" s="12"/>
      <c r="C17" s="12"/>
      <c r="D17" s="12"/>
      <c r="E17" s="12"/>
      <c r="F17" s="12"/>
      <c r="G17" s="12"/>
      <c r="H17" s="12"/>
      <c r="I17" s="12"/>
    </row>
    <row r="18" spans="2:9" x14ac:dyDescent="0.3">
      <c r="B18" s="12"/>
      <c r="C18" s="12"/>
      <c r="D18" s="12"/>
      <c r="E18" s="12"/>
      <c r="F18" s="12"/>
      <c r="G18" s="12"/>
      <c r="H18" s="12"/>
      <c r="I18" s="12"/>
    </row>
    <row r="19" spans="2:9" x14ac:dyDescent="0.3">
      <c r="B19" s="12"/>
      <c r="C19" s="12"/>
      <c r="D19" s="12"/>
      <c r="E19" s="12"/>
      <c r="F19" s="12"/>
      <c r="G19" s="12"/>
      <c r="H19" s="12"/>
      <c r="I19" s="12"/>
    </row>
    <row r="20" spans="2:9" x14ac:dyDescent="0.3">
      <c r="B20" s="12"/>
      <c r="C20" s="12"/>
      <c r="D20" s="12"/>
      <c r="E20" s="12"/>
      <c r="F20" s="12"/>
      <c r="G20" s="12"/>
      <c r="H20" s="12"/>
      <c r="I20" s="12"/>
    </row>
    <row r="21" spans="2:9" x14ac:dyDescent="0.3">
      <c r="B21" s="12"/>
      <c r="C21" s="12"/>
      <c r="D21" s="12"/>
      <c r="E21" s="12"/>
      <c r="F21" s="12"/>
      <c r="G21" s="12"/>
      <c r="H21" s="12"/>
      <c r="I21" s="12"/>
    </row>
    <row r="22" spans="2:9" x14ac:dyDescent="0.3">
      <c r="B22" s="12"/>
      <c r="C22" s="12"/>
      <c r="D22" s="12"/>
      <c r="E22" s="12"/>
      <c r="F22" s="12"/>
      <c r="G22" s="12"/>
      <c r="H22" s="12"/>
      <c r="I22" s="12"/>
    </row>
    <row r="23" spans="2:9" x14ac:dyDescent="0.3">
      <c r="B23" s="12"/>
      <c r="C23" s="12"/>
      <c r="D23" s="12"/>
      <c r="E23" s="12"/>
      <c r="F23" s="12"/>
      <c r="G23" s="12"/>
      <c r="H23" s="12"/>
      <c r="I23" s="12"/>
    </row>
    <row r="24" spans="2:9" x14ac:dyDescent="0.3">
      <c r="B24" s="12"/>
      <c r="C24" s="12"/>
      <c r="D24" s="12"/>
      <c r="E24" s="12"/>
      <c r="F24" s="12"/>
      <c r="G24" s="12"/>
      <c r="H24" s="12"/>
      <c r="I24" s="12"/>
    </row>
    <row r="25" spans="2:9" x14ac:dyDescent="0.3">
      <c r="B25" s="12"/>
      <c r="C25" s="12"/>
      <c r="D25" s="12"/>
      <c r="E25" s="12"/>
      <c r="F25" s="12"/>
      <c r="G25" s="12"/>
      <c r="H25" s="12"/>
      <c r="I25" s="12"/>
    </row>
    <row r="26" spans="2:9" x14ac:dyDescent="0.3">
      <c r="B26" s="12"/>
      <c r="C26" s="12"/>
      <c r="D26" s="12"/>
      <c r="E26" s="12"/>
      <c r="F26" s="12"/>
      <c r="G26" s="12"/>
      <c r="H26" s="12"/>
      <c r="I26" s="12"/>
    </row>
    <row r="28" spans="2:9" x14ac:dyDescent="0.3">
      <c r="B28" s="7" t="s">
        <v>162</v>
      </c>
      <c r="C28" s="7">
        <f>SUMPRODUCT((B6:B26&lt;&gt;"")/COUNTIF(B6:B26,B6:B26&amp;""))</f>
        <v>4</v>
      </c>
    </row>
    <row r="29" spans="2:9" x14ac:dyDescent="0.3">
      <c r="B29" s="7" t="s">
        <v>163</v>
      </c>
      <c r="C29" s="7">
        <f>COUNTIF(F6:F26,"Yes")</f>
        <v>0</v>
      </c>
    </row>
    <row r="30" spans="2:9" x14ac:dyDescent="0.3">
      <c r="B30" s="7" t="s">
        <v>164</v>
      </c>
      <c r="C30" s="7">
        <f>SUM(G6:G26)</f>
        <v>0</v>
      </c>
    </row>
  </sheetData>
  <mergeCells count="2">
    <mergeCell ref="B3:I3"/>
    <mergeCell ref="A2:H2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7734375" defaultRowHeight="14.4" x14ac:dyDescent="0.3"/>
  <cols>
    <col min="1" max="1" width="3" customWidth="1"/>
    <col min="2" max="2" width="30" customWidth="1"/>
    <col min="3" max="4" width="16" customWidth="1"/>
    <col min="5" max="6" width="22.109375" customWidth="1"/>
    <col min="7" max="7" width="20" customWidth="1"/>
  </cols>
  <sheetData>
    <row r="2" spans="1:7" ht="25.5" customHeight="1" x14ac:dyDescent="0.3">
      <c r="A2" s="23" t="s">
        <v>165</v>
      </c>
      <c r="B2" s="22"/>
      <c r="C2" s="22"/>
      <c r="D2" s="22"/>
      <c r="E2" s="22"/>
      <c r="F2" s="22"/>
    </row>
    <row r="3" spans="1:7" x14ac:dyDescent="0.3">
      <c r="B3" s="21" t="s">
        <v>166</v>
      </c>
      <c r="C3" s="22"/>
      <c r="D3" s="22"/>
      <c r="E3" s="22"/>
      <c r="F3" s="22"/>
      <c r="G3" s="22"/>
    </row>
    <row r="5" spans="1:7" ht="31.5" customHeight="1" x14ac:dyDescent="0.3">
      <c r="B5" s="1" t="s">
        <v>167</v>
      </c>
      <c r="C5" s="1" t="s">
        <v>4</v>
      </c>
      <c r="D5" s="1" t="s">
        <v>143</v>
      </c>
      <c r="E5" s="1" t="s">
        <v>168</v>
      </c>
      <c r="F5" s="1" t="s">
        <v>169</v>
      </c>
      <c r="G5" s="1" t="s">
        <v>170</v>
      </c>
    </row>
    <row r="6" spans="1:7" ht="26.4" x14ac:dyDescent="0.3">
      <c r="B6" s="11" t="s">
        <v>171</v>
      </c>
      <c r="C6" s="11" t="s">
        <v>11</v>
      </c>
      <c r="D6" s="11" t="s">
        <v>172</v>
      </c>
      <c r="E6" s="11" t="s">
        <v>173</v>
      </c>
      <c r="F6" s="11" t="s">
        <v>174</v>
      </c>
      <c r="G6" s="11">
        <v>1200</v>
      </c>
    </row>
    <row r="7" spans="1:7" x14ac:dyDescent="0.3">
      <c r="B7" s="12" t="s">
        <v>175</v>
      </c>
      <c r="C7" s="12" t="s">
        <v>15</v>
      </c>
      <c r="D7" s="12" t="s">
        <v>176</v>
      </c>
      <c r="E7" s="12" t="s">
        <v>177</v>
      </c>
      <c r="F7" s="12" t="s">
        <v>178</v>
      </c>
      <c r="G7" s="12">
        <v>850</v>
      </c>
    </row>
    <row r="8" spans="1:7" x14ac:dyDescent="0.3">
      <c r="B8" s="12" t="s">
        <v>179</v>
      </c>
      <c r="C8" s="12" t="s">
        <v>18</v>
      </c>
      <c r="D8" s="12" t="s">
        <v>180</v>
      </c>
      <c r="E8" s="12" t="s">
        <v>181</v>
      </c>
      <c r="F8" s="12" t="s">
        <v>182</v>
      </c>
      <c r="G8" s="12">
        <v>430</v>
      </c>
    </row>
    <row r="9" spans="1:7" x14ac:dyDescent="0.3">
      <c r="B9" s="12" t="s">
        <v>183</v>
      </c>
      <c r="C9" s="12" t="s">
        <v>81</v>
      </c>
      <c r="D9" s="12" t="s">
        <v>184</v>
      </c>
      <c r="E9" s="12" t="s">
        <v>185</v>
      </c>
      <c r="F9" s="12" t="s">
        <v>186</v>
      </c>
      <c r="G9" s="12">
        <v>300</v>
      </c>
    </row>
    <row r="10" spans="1:7" x14ac:dyDescent="0.3">
      <c r="B10" s="12"/>
      <c r="C10" s="12"/>
      <c r="D10" s="12"/>
      <c r="E10" s="12"/>
      <c r="F10" s="12"/>
      <c r="G10" s="12"/>
    </row>
    <row r="11" spans="1:7" x14ac:dyDescent="0.3">
      <c r="B11" s="12"/>
      <c r="C11" s="12"/>
      <c r="D11" s="12"/>
      <c r="E11" s="12"/>
      <c r="F11" s="12"/>
      <c r="G11" s="12"/>
    </row>
    <row r="12" spans="1:7" x14ac:dyDescent="0.3">
      <c r="B12" s="12"/>
      <c r="C12" s="12"/>
      <c r="D12" s="12"/>
      <c r="E12" s="12"/>
      <c r="F12" s="12"/>
      <c r="G12" s="12"/>
    </row>
    <row r="13" spans="1:7" x14ac:dyDescent="0.3">
      <c r="B13" s="12"/>
      <c r="C13" s="12"/>
      <c r="D13" s="12"/>
      <c r="E13" s="12"/>
      <c r="F13" s="12"/>
      <c r="G13" s="12"/>
    </row>
    <row r="14" spans="1:7" x14ac:dyDescent="0.3">
      <c r="B14" s="12"/>
      <c r="C14" s="12"/>
      <c r="D14" s="12"/>
      <c r="E14" s="12"/>
      <c r="F14" s="12"/>
      <c r="G14" s="12"/>
    </row>
    <row r="15" spans="1:7" x14ac:dyDescent="0.3">
      <c r="B15" s="12"/>
      <c r="C15" s="12"/>
      <c r="D15" s="12"/>
      <c r="E15" s="12"/>
      <c r="F15" s="12"/>
      <c r="G15" s="12"/>
    </row>
    <row r="16" spans="1:7" x14ac:dyDescent="0.3">
      <c r="B16" s="12"/>
      <c r="C16" s="12"/>
      <c r="D16" s="12"/>
      <c r="E16" s="12"/>
      <c r="F16" s="12"/>
      <c r="G16" s="12"/>
    </row>
    <row r="17" spans="2:7" x14ac:dyDescent="0.3">
      <c r="B17" s="12"/>
      <c r="C17" s="12"/>
      <c r="D17" s="12"/>
      <c r="E17" s="12"/>
      <c r="F17" s="12"/>
      <c r="G17" s="12"/>
    </row>
    <row r="18" spans="2:7" x14ac:dyDescent="0.3">
      <c r="B18" s="12"/>
      <c r="C18" s="12"/>
      <c r="D18" s="12"/>
      <c r="E18" s="12"/>
      <c r="F18" s="12"/>
      <c r="G18" s="12"/>
    </row>
    <row r="19" spans="2:7" x14ac:dyDescent="0.3">
      <c r="B19" s="12"/>
      <c r="C19" s="12"/>
      <c r="D19" s="12"/>
      <c r="E19" s="12"/>
      <c r="F19" s="12"/>
      <c r="G19" s="12"/>
    </row>
    <row r="20" spans="2:7" x14ac:dyDescent="0.3">
      <c r="B20" s="12"/>
      <c r="C20" s="12"/>
      <c r="D20" s="12"/>
      <c r="E20" s="12"/>
      <c r="F20" s="12"/>
      <c r="G20" s="12"/>
    </row>
    <row r="21" spans="2:7" x14ac:dyDescent="0.3">
      <c r="B21" s="12"/>
      <c r="C21" s="12"/>
      <c r="D21" s="12"/>
      <c r="E21" s="12"/>
      <c r="F21" s="12"/>
      <c r="G21" s="12"/>
    </row>
    <row r="22" spans="2:7" x14ac:dyDescent="0.3">
      <c r="B22" s="12"/>
      <c r="C22" s="12"/>
      <c r="D22" s="12"/>
      <c r="E22" s="12"/>
      <c r="F22" s="12"/>
      <c r="G22" s="12"/>
    </row>
    <row r="23" spans="2:7" x14ac:dyDescent="0.3">
      <c r="B23" s="12"/>
      <c r="C23" s="12"/>
      <c r="D23" s="12"/>
      <c r="E23" s="12"/>
      <c r="F23" s="12"/>
      <c r="G23" s="12"/>
    </row>
    <row r="24" spans="2:7" x14ac:dyDescent="0.3">
      <c r="B24" s="12"/>
      <c r="C24" s="12"/>
      <c r="D24" s="12"/>
      <c r="E24" s="12"/>
      <c r="F24" s="12"/>
      <c r="G24" s="12"/>
    </row>
    <row r="25" spans="2:7" x14ac:dyDescent="0.3">
      <c r="B25" s="12"/>
      <c r="C25" s="12"/>
      <c r="D25" s="12"/>
      <c r="E25" s="12"/>
      <c r="F25" s="12"/>
      <c r="G25" s="12"/>
    </row>
    <row r="26" spans="2:7" x14ac:dyDescent="0.3">
      <c r="B26" s="12"/>
      <c r="C26" s="12"/>
      <c r="D26" s="12"/>
      <c r="E26" s="12"/>
      <c r="F26" s="12"/>
      <c r="G26" s="12"/>
    </row>
    <row r="28" spans="2:7" x14ac:dyDescent="0.3">
      <c r="B28" s="7" t="s">
        <v>187</v>
      </c>
      <c r="C28" s="7">
        <f>COUNTA(B6:B26)</f>
        <v>4</v>
      </c>
    </row>
    <row r="29" spans="2:7" x14ac:dyDescent="0.3">
      <c r="B29" s="7" t="s">
        <v>188</v>
      </c>
      <c r="C29" s="7">
        <f>COUNTIF(D6:D26,"School Collection Drive")+COUNTIF(D6:D26,"RWA/Community Drive")</f>
        <v>0</v>
      </c>
    </row>
    <row r="30" spans="2:7" x14ac:dyDescent="0.3">
      <c r="B30" s="7" t="s">
        <v>189</v>
      </c>
      <c r="C30" s="7">
        <f>SUM(F6:F26)</f>
        <v>0</v>
      </c>
    </row>
  </sheetData>
  <mergeCells count="2">
    <mergeCell ref="B3:G3"/>
    <mergeCell ref="A2:F2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03A5B8C0-52F5-4692-85AE-9414722CD674}"/>
</file>

<file path=customXml/itemProps2.xml><?xml version="1.0" encoding="utf-8"?>
<ds:datastoreItem xmlns:ds="http://schemas.openxmlformats.org/officeDocument/2006/customXml" ds:itemID="{6A8E4225-8B7D-498F-8829-09DB1A554733}"/>
</file>

<file path=customXml/itemProps3.xml><?xml version="1.0" encoding="utf-8"?>
<ds:datastoreItem xmlns:ds="http://schemas.openxmlformats.org/officeDocument/2006/customXml" ds:itemID="{E07BAFA3-6A1B-4AF4-8215-B2E3664B5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Lalge</cp:lastModifiedBy>
  <cp:revision>0</cp:revision>
  <dcterms:created xsi:type="dcterms:W3CDTF">2026-07-16T04:20:02Z</dcterms:created>
  <dcterms:modified xsi:type="dcterms:W3CDTF">2026-07-31T16:58:08Z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